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7980" activeTab="1"/>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<sst xmlns="http://schemas.openxmlformats.org/spreadsheetml/2006/main" count="441" uniqueCount="352">
  <si>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</si>
  <si>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</si>
  <si>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</si>
  <si>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</si>
  <si>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</si>
  <si>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</si>
  <si>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</si>
  <si>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</si>
  <si>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</si>
  <si>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</si>
  <si>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</si>
  <si>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</si>
  <si>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</si>
  <si>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</si>
  <si>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</si>
  <si>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</si>
  <si>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</si>
  <si>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</si>
  <si>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</si>
  <si>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</si>
  <si>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</si>
  <si>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</si>
  <si>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</si>
  <si>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</si>
  <si>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</si>
  <si>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</si>
  <si>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</si>
  <si>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</si>
  <si>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</si>
  <si>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senico</t>
  </si>
  <si>
    <t>Orchestrator Queue Name. Be sure to match this name with the one from the server.</t>
  </si>
  <si>
    <t>OrchestratorQueueFolder</t>
  </si>
  <si>
    <t>Shared</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</si>
  <si>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</si>
  <si>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</si>
  <si>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</si>
  <si>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</si>
  <si>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</si>
  <si>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</si>
  <si>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</si>
  <si>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</si>
  <si>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</si>
  <si>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</si>
  <si>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</si>
  <si>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</si>
  <si>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</si>
  <si>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</si>
  <si>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</si>
  <si>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</si>
  <si>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</si>
  <si>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</si>
  <si>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</si>
  <si>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</si>
  <si>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</si>
  <si>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</si>
  <si>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</si>
  <si>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</si>
  <si>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</si>
  <si>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</si>
  <si>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</si>
  <si>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</si>
  <si>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</si>
  <si>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</si>
  <si>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</si>
  <si>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</si>
  <si>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</si>
  <si>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</si>
  <si>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</si>
  <si>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</si>
  <si>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</si>
  <si>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</si>
  <si>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</si>
  <si>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</si>
  <si>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</si>
  <si>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</si>
  <si>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</si>
  <si>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</si>
  <si>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</si>
  <si>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</si>
  <si>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</si>
  <si>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</si>
  <si>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</si>
  <si>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</si>
  <si>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</si>
  <si>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</si>
  <si>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</si>
  <si>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</si>
  <si>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</si>
  <si>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</si>
  <si>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</si>
  <si>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</si>
  <si>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</si>
  <si>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</si>
  <si>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</si>
  <si>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</si>
  <si>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</si>
  <si>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</si>
  <si>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</si>
  <si>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</si>
  <si>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</si>
  <si>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</si>
  <si>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</si>
  <si>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</si>
  <si>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</si>
  <si>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</si>
  <si>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</si>
  <si>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</si>
  <si>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</si>
  <si>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</si>
  <si>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</si>
  <si>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</si>
  <si>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</si>
  <si>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</si>
  <si>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</si>
  <si>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</si>
  <si>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</si>
  <si>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</si>
  <si>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</si>
  <si>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</si>
  <si>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</si>
  <si>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</si>
  <si>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</si>
  <si>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</si>
  <si>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</si>
  <si>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</si>
  <si>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</si>
  <si>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</si>
  <si>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</si>
  <si>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</si>
  <si>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</si>
  <si>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</si>
  <si>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</si>
  <si>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</si>
  <si>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</si>
  <si>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</si>
  <si>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</si>
  <si>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</si>
  <si>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</si>
  <si>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</si>
  <si>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</si>
  <si>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</si>
  <si>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</si>
  <si>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</si>
  <si>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</si>
  <si>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</si>
  <si>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</si>
  <si>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</si>
  <si>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</si>
  <si>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</si>
  <si>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</si>
  <si>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</si>
  <si>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</si>
  <si>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</si>
  <si>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</si>
  <si>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</si>
  <si>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</si>
  <si>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</si>
  <si>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</si>
  <si>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</si>
  <si>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</si>
  <si>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</si>
  <si>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</si>
  <si>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ProcessName_DocumentRow</t>
  </si>
  <si>
    <t>Criminal Record</t>
  </si>
  <si>
    <t>FileName_SavePDF</t>
  </si>
  <si>
    <t>Casier.pdf</t>
  </si>
  <si>
    <t>MailTo_AddressCC</t>
  </si>
  <si>
    <t>MailSubject_NOCriminalRecords</t>
  </si>
  <si>
    <t>Casiers_Judiciaires - Casier judiciaire vierge pour le collaborateur %COLLABORATEUR% , Matricule : %MATRICULE%</t>
  </si>
  <si>
    <t>DEV - Casiers_Judiciaires - Casier judiciaire vide pour le collaborateur %COLLABORATEUR% , Matricule : %MATRICULE%</t>
  </si>
  <si>
    <t>INT - Casiers_Judiciaires - Casier judiciaire vide pour le collaborateur %COLLABORATEUR% , Matricule : %MATRICULE%</t>
  </si>
  <si>
    <t>MailBody_NOCriminalRecords</t>
  </si>
  <si>
    <t>&lt;p&gt;Je vous informe que le casier judiciaire du collaborateur %COLLABORATEUR% , Matricule : %MATRICULE% , est vierge et conforme. Aucune mention n'a été trouvée lors de l'analyse automatisée. &lt;/p&gt;</t>
  </si>
  <si>
    <t>MailSubject_CriminalRecords</t>
  </si>
  <si>
    <t>Casiers_Judiciaires - Mentions sur le casier judiciaire du collaborateur %COLLABORATEUR% , Matricule : %MATRICULE%</t>
  </si>
  <si>
    <t>DEV - Casiers_Judiciaires - Mentions sur le casier judiciaire du collaborateur %COLLABORATEUR% , Matricule : %MATRICULE%</t>
  </si>
  <si>
    <t>INT - Casiers_Judiciaires - Mentions sur le casier judiciaire du collaborateur %COLLABORATEUR% , Matricule : %MATRICULE%</t>
  </si>
  <si>
    <t>MailBody_CriminalRecords</t>
  </si>
  <si>
    <t xml:space="preserve">&lt;p&gt; Nous vous informons que lors de la vérification du casier judiciaire du collaborateur %COLLABORATEUR% , Matricule : %MATRICULE%, des mentions ont été relevées. &lt;/p&gt; 
&lt;p&gt; Nous vous prions de bien vouloir examiner ces mentions et de prendre les mesures nécessaires en fonction de notre politique interne. &lt;/p&gt; 
&lt;p&gt; Merci de votre compréhension et de votre coopération. &lt;/p&gt; </t>
  </si>
  <si>
    <t>FileName_UploadPDF</t>
  </si>
  <si>
    <t>\Input\PDF\SuppressionCasierJudicaireFDJGroupe.pdf</t>
  </si>
  <si>
    <t>Regex_NoCriminalRecords</t>
  </si>
  <si>
    <t>(Relevé des condamnations)[\s\r\n\D\d]{0,270}(Réf)</t>
  </si>
  <si>
    <t>Downloads_FolderPath</t>
  </si>
  <si>
    <t>C:\Users\A993551\Downloads\</t>
  </si>
  <si>
    <t>C:\Users\A992736\Downloads\</t>
  </si>
  <si>
    <t>D:\RUN RPA\189_HR_Workday_Casiers_Judiciaires\Test\Downloads\</t>
  </si>
  <si>
    <t>Directory download path for temporary PDF file. You need to put a "\" at the end of the directory</t>
  </si>
  <si>
    <t>NomUsage_Text</t>
  </si>
  <si>
    <t>Nom d'usage</t>
  </si>
  <si>
    <t>AllowedExtension</t>
  </si>
  <si>
    <t>pdf,png, jpg</t>
  </si>
  <si>
    <t>MaxMB</t>
  </si>
  <si>
    <t>PathDownloadAttachements</t>
  </si>
  <si>
    <t>C:\Users\senyoneadmin\Documents\UiPath\SENICO\Data</t>
  </si>
  <si>
    <t>DomainName</t>
  </si>
  <si>
    <t>senyone.sn</t>
  </si>
  <si>
    <t>AnnuaireFolder</t>
  </si>
  <si>
    <t>ANNUAIRE</t>
  </si>
  <si>
    <t>AnnuaireFileName</t>
  </si>
  <si>
    <t>Annuaire.xlsx</t>
  </si>
  <si>
    <t>AnnuaireFileUrl</t>
  </si>
  <si>
    <t>https://senyone.sharepoint.com/:x:/s/ServicesRH/EcNvdO692pJDpE007LBfz-4B4wA7J_ulFRarWxCrdjw_0A?e=PuwZaQ</t>
  </si>
  <si>
    <t>AnnuaireFileRange</t>
  </si>
  <si>
    <t>Feuil1</t>
  </si>
  <si>
    <t>BroadCastSenderMail</t>
  </si>
  <si>
    <t>reception@senico.sn, direction@senico.sn</t>
  </si>
  <si>
    <t>Type_document</t>
  </si>
  <si>
    <t>invoices</t>
  </si>
  <si>
    <t>Document_confidence</t>
  </si>
  <si>
    <t>SharePointParentFolder</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</si>
  <si>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</si>
  <si>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</si>
  <si>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</si>
  <si>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</si>
  <si>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</si>
  <si>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</si>
  <si>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</si>
  <si>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</si>
  <si>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</si>
  <si>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Asset_Workday_UI_HomepageURL</t>
  </si>
  <si>
    <t>Workday_UI_HomepageURL</t>
  </si>
  <si>
    <t>Asset_Workday_API_GetWorkerCredentials</t>
  </si>
  <si>
    <t>Workday_API_GetWorkerCredentials</t>
  </si>
  <si>
    <t>Asset_Workday_API_URL</t>
  </si>
  <si>
    <t>Workday_API_URL</t>
  </si>
  <si>
    <t>TestingInDEV</t>
  </si>
  <si>
    <t>TestingInDEV_Email</t>
  </si>
  <si>
    <t>Credentials_FileName</t>
  </si>
  <si>
    <t>Workday_CredentialAssets.json</t>
  </si>
  <si>
    <t>Workday_StorageBucket</t>
  </si>
  <si>
    <t>Workday</t>
  </si>
  <si>
    <t>Credentials_DowloadPath</t>
  </si>
  <si>
    <t>D:\RUN RPA\189_HR_Workday_Casiers_Judiciaires\Prod\Input\Workday_CredentialAssets.json</t>
  </si>
  <si>
    <t>D:\RUN RPA\189_HR_Workday_Casiers_Judiciaires\Dev\Input\Workday_CredentialAssets.json</t>
  </si>
  <si>
    <t>D:\RUN RPA\189_HR_Workday_Casiers_Judiciaires\Test\Input\Workday_CredentialAssets.json</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</si>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</sst>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8">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177" fontId="8" fillId="0" borderId="0" applyFont="0" applyFill="0" applyBorder="0" applyAlignment="0" applyProtection="0">
      <alignment vertical="center"/>
    </xf>
    <xf numFmtId="42" fontId="8" fillId="0" borderId="0" applyFont="0" applyFill="0" applyBorder="0" applyAlignment="0" applyProtection="0">
      <alignment vertical="center"/>
    </xf>
    <xf numFmtId="0" fontId="7" fillId="0" borderId="0" applyNumberFormat="0" applyFill="0" applyBorder="0" applyAlignment="0" applyProtection="0"/>
    <xf numFmtId="0" fontId="10" fillId="0" borderId="0" applyNumberFormat="0" applyFill="0" applyBorder="0" applyAlignment="0" applyProtection="0">
      <alignment vertical="center"/>
    </xf>
    <xf numFmtId="0" fontId="8" fillId="9" borderId="14"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5" applyNumberFormat="0" applyFill="0" applyAlignment="0" applyProtection="0">
      <alignment vertical="center"/>
    </xf>
    <xf numFmtId="0" fontId="15" fillId="0" borderId="15" applyNumberFormat="0" applyFill="0" applyAlignment="0" applyProtection="0">
      <alignment vertical="center"/>
    </xf>
    <xf numFmtId="0" fontId="16" fillId="0" borderId="16" applyNumberFormat="0" applyFill="0" applyAlignment="0" applyProtection="0">
      <alignment vertical="center"/>
    </xf>
    <xf numFmtId="0" fontId="16" fillId="0" borderId="0" applyNumberFormat="0" applyFill="0" applyBorder="0" applyAlignment="0" applyProtection="0">
      <alignment vertical="center"/>
    </xf>
    <xf numFmtId="0" fontId="17" fillId="10" borderId="17" applyNumberFormat="0" applyAlignment="0" applyProtection="0">
      <alignment vertical="center"/>
    </xf>
    <xf numFmtId="0" fontId="18" fillId="11" borderId="18" applyNumberFormat="0" applyAlignment="0" applyProtection="0">
      <alignment vertical="center"/>
    </xf>
    <xf numFmtId="0" fontId="19" fillId="11" borderId="17" applyNumberFormat="0" applyAlignment="0" applyProtection="0">
      <alignment vertical="center"/>
    </xf>
    <xf numFmtId="0" fontId="20" fillId="12" borderId="19" applyNumberFormat="0" applyAlignment="0" applyProtection="0">
      <alignment vertical="center"/>
    </xf>
    <xf numFmtId="0" fontId="21" fillId="0" borderId="20" applyNumberFormat="0" applyFill="0" applyAlignment="0" applyProtection="0">
      <alignment vertical="center"/>
    </xf>
    <xf numFmtId="0" fontId="22" fillId="0" borderId="21" applyNumberFormat="0" applyFill="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26" fillId="6" borderId="0" applyNumberFormat="0" applyBorder="0" applyAlignment="0" applyProtection="0">
      <alignment vertical="center"/>
    </xf>
    <xf numFmtId="0" fontId="27" fillId="36" borderId="0" applyNumberFormat="0" applyBorder="0" applyAlignment="0" applyProtection="0">
      <alignment vertical="center"/>
    </xf>
    <xf numFmtId="0" fontId="8" fillId="37" borderId="0" applyNumberFormat="0" applyBorder="0" applyAlignment="0" applyProtection="0"/>
    <xf numFmtId="0" fontId="26" fillId="38" borderId="0" applyNumberFormat="0" applyBorder="0" applyAlignment="0" applyProtection="0">
      <alignment vertical="center"/>
    </xf>
  </cellStyleXfs>
  <cellXfs count="84">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ont="1" applyFill="1"/>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ont="1" applyFill="1" applyAlignment="1">
      <alignment vertical="top" wrapText="1"/>
    </xf>
    <xf numFmtId="0" fontId="3" fillId="3" borderId="3" xfId="0" applyFont="1" applyFill="1" applyBorder="1" applyAlignment="1">
      <alignment horizontal="left" vertical="center"/>
    </xf>
    <xf numFmtId="0" fontId="0" fillId="3" borderId="0" xfId="0" applyFill="1" applyAlignment="1">
      <alignment vertical="top" wrapText="1"/>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0" fillId="3" borderId="11" xfId="0" applyFill="1" applyBorder="1"/>
    <xf numFmtId="0" fontId="0" fillId="3" borderId="12" xfId="0" applyFill="1" applyBorder="1"/>
    <xf numFmtId="0" fontId="0" fillId="3" borderId="13" xfId="0" applyFill="1" applyBorder="1"/>
    <xf numFmtId="0" fontId="0" fillId="3" borderId="12" xfId="0" applyFont="1" applyFill="1" applyBorder="1"/>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0" fillId="0" borderId="4" xfId="0" applyFont="1" applyBorder="1" applyAlignment="1">
      <alignment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3" fillId="3" borderId="11" xfId="0" applyFont="1" applyFill="1" applyBorder="1" applyAlignment="1">
      <alignment horizontal="left" vertical="center"/>
    </xf>
    <xf numFmtId="0" fontId="4" fillId="3" borderId="12" xfId="0" applyFont="1" applyFill="1" applyBorder="1" applyAlignment="1">
      <alignment horizontal="center" vertical="center" wrapText="1"/>
    </xf>
    <xf numFmtId="0" fontId="4" fillId="3" borderId="0" xfId="0" applyFont="1" applyFill="1" applyAlignment="1">
      <alignment vertical="center" wrapText="1"/>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ont="1" applyFill="1" applyAlignment="1">
      <alignment horizontal="center" vertical="center" wrapText="1"/>
    </xf>
    <xf numFmtId="0" fontId="0" fillId="3" borderId="4" xfId="0" applyFont="1" applyFill="1" applyBorder="1" applyAlignment="1">
      <alignment vertical="center"/>
    </xf>
    <xf numFmtId="0" fontId="4" fillId="6" borderId="0" xfId="0" applyFont="1" applyFill="1" applyAlignment="1">
      <alignment horizontal="center" vertical="center" wrapText="1"/>
    </xf>
    <xf numFmtId="0" fontId="0" fillId="6" borderId="0" xfId="0" applyFill="1"/>
    <xf numFmtId="0" fontId="0" fillId="7" borderId="0" xfId="0" applyFill="1"/>
    <xf numFmtId="0" fontId="0" fillId="6" borderId="0" xfId="0" applyFill="1" applyAlignment="1">
      <alignment horizontal="center"/>
    </xf>
    <xf numFmtId="0" fontId="0" fillId="7" borderId="0" xfId="0" applyFill="1" applyAlignment="1">
      <alignment horizontal="center"/>
    </xf>
    <xf numFmtId="0" fontId="6" fillId="8" borderId="3" xfId="0" applyFont="1" applyFill="1" applyBorder="1" applyAlignment="1">
      <alignment horizontal="left" vertical="center"/>
    </xf>
    <xf numFmtId="0" fontId="0" fillId="8" borderId="0" xfId="0" applyFill="1" applyAlignment="1">
      <alignment horizontal="center"/>
    </xf>
    <xf numFmtId="0" fontId="4" fillId="8" borderId="0" xfId="0" applyFont="1" applyFill="1" applyAlignment="1">
      <alignment horizontal="center" vertical="center" wrapText="1"/>
    </xf>
    <xf numFmtId="0" fontId="0" fillId="8" borderId="4" xfId="0" applyFont="1" applyFill="1" applyBorder="1" applyAlignment="1">
      <alignment vertical="center"/>
    </xf>
    <xf numFmtId="0" fontId="0" fillId="0" borderId="0" xfId="0" applyFill="1"/>
    <xf numFmtId="0" fontId="7" fillId="3" borderId="0" xfId="6"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8" borderId="0" xfId="0" applyFill="1"/>
    <xf numFmtId="0" fontId="0"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0" fillId="3" borderId="0" xfId="0" applyFill="1" applyAlignment="1">
      <alignment horizontal="center" vertical="center" wrapText="1"/>
    </xf>
    <xf numFmtId="0" fontId="4" fillId="3" borderId="4" xfId="0" applyFont="1" applyFill="1" applyBorder="1" applyAlignment="1">
      <alignment horizontal="left" vertical="center"/>
    </xf>
    <xf numFmtId="0" fontId="0"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0" fillId="0" borderId="4" xfId="0" applyBorder="1" applyAlignment="1">
      <alignment horizontal="left" vertical="center"/>
    </xf>
    <xf numFmtId="0" fontId="8" fillId="3" borderId="0" xfId="47" applyFill="1" applyBorder="1" applyAlignment="1">
      <alignment horizontal="center"/>
    </xf>
    <xf numFmtId="0" fontId="0" fillId="3" borderId="0" xfId="0" applyFill="1" applyAlignment="1">
      <alignment horizontal="center"/>
    </xf>
    <xf numFmtId="0" fontId="3" fillId="8" borderId="3" xfId="0" applyFont="1" applyFill="1" applyBorder="1" applyAlignment="1">
      <alignment horizontal="left" vertical="center"/>
    </xf>
    <xf numFmtId="0" fontId="0" fillId="8" borderId="4" xfId="0" applyFont="1" applyFill="1" applyBorder="1" applyAlignment="1">
      <alignment horizontal="left" vertical="center"/>
    </xf>
    <xf numFmtId="0" fontId="0" fillId="0" borderId="0" xfId="0" applyFill="1"/>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6" applyFill="1" applyBorder="1" applyAlignment="1">
      <alignment horizontal="center"/>
    </xf>
    <xf numFmtId="0" fontId="8" fillId="3" borderId="0" xfId="47" applyFont="1" applyFill="1" applyBorder="1" applyAlignment="1">
      <alignment horizontal="center"/>
    </xf>
    <xf numFmtId="0" fontId="0" fillId="3" borderId="0" xfId="0" applyFill="1" applyAlignment="1">
      <alignment horizontal="center" vertical="top" wrapText="1"/>
    </xf>
    <xf numFmtId="0" fontId="0" fillId="0" borderId="0" xfId="0" applyFont="1" applyAlignment="1">
      <alignment horizontal="center" vertical="center"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mruColors>
      <color rgb="00214FED"/>
      <color rgb="006F7FFA"/>
      <color rgb="00E6E6E6"/>
      <color rgb="00828D93"/>
      <color rgb="00C6F3F6"/>
      <color rgb="0099E9EF"/>
      <color rgb="001FC1CC"/>
      <color rgb="0000F3FF"/>
      <color rgb="0073FDFE"/>
      <color rgb="002154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showGridLines="0" workbookViewId="0">
      <pane ySplit="1" topLeftCell="A2" activePane="bottomLeft" state="frozen"/>
      <selection/>
      <selection pane="bottomLeft" activeCell="B20" sqref="B20"/>
    </sheetView>
  </sheetViews>
  <sheetFormatPr defaultColWidth="14.4571428571429" defaultRowHeight="15" customHeight="1" outlineLevelCol="4"/>
  <cols>
    <col min="1" max="1" width="50.5428571428571" style="33" customWidth="1"/>
    <col min="2" max="2" width="49.8190476190476" style="34" customWidth="1"/>
    <col min="3" max="3" width="28.7238095238095" style="34" customWidth="1"/>
    <col min="4" max="4" width="28.4571428571429" style="34" customWidth="1"/>
    <col min="5" max="5" width="130.266666666667" style="59" customWidth="1"/>
  </cols>
  <sheetData>
    <row r="1" s="31" customFormat="1" ht="15.65" customHeight="1" spans="1:5">
      <c r="A1" s="36" t="s">
        <v>0</v>
      </c>
      <c r="B1" s="37" t="s">
        <v>1</v>
      </c>
      <c r="C1" s="37" t="s">
        <v>2</v>
      </c>
      <c r="D1" s="37" t="s">
        <v>3</v>
      </c>
      <c r="E1" s="36" t="s">
        <v>4</v>
      </c>
    </row>
    <row r="2" ht="15.65" customHeight="1" spans="1:5">
      <c r="A2" s="60" t="s">
        <v>5</v>
      </c>
      <c r="B2" s="61"/>
      <c r="C2" s="61"/>
      <c r="D2" s="61"/>
      <c r="E2" s="62"/>
    </row>
    <row r="3" ht="14.25" customHeight="1" spans="1:5">
      <c r="A3" s="42" t="s">
        <v>6</v>
      </c>
      <c r="B3" s="43" t="s">
        <v>7</v>
      </c>
      <c r="C3" s="63"/>
      <c r="D3" s="63"/>
      <c r="E3" s="64" t="s">
        <v>8</v>
      </c>
    </row>
    <row r="4" ht="14.25" customHeight="1" spans="1:5">
      <c r="A4" s="42" t="s">
        <v>9</v>
      </c>
      <c r="B4" s="63" t="s">
        <v>10</v>
      </c>
      <c r="C4" s="63"/>
      <c r="D4" s="63"/>
      <c r="E4" s="64" t="s">
        <v>11</v>
      </c>
    </row>
    <row r="5" ht="14.25" customHeight="1" spans="1:5">
      <c r="A5" s="42" t="s">
        <v>12</v>
      </c>
      <c r="B5" s="41" t="s">
        <v>13</v>
      </c>
      <c r="C5" s="41"/>
      <c r="D5" s="41"/>
      <c r="E5" s="65" t="s">
        <v>14</v>
      </c>
    </row>
    <row r="6" ht="14.25" customHeight="1" spans="1:5">
      <c r="A6" s="42" t="s">
        <v>15</v>
      </c>
      <c r="B6" s="41" t="s">
        <v>16</v>
      </c>
      <c r="C6" s="41"/>
      <c r="D6" s="41"/>
      <c r="E6" s="65" t="s">
        <v>17</v>
      </c>
    </row>
    <row r="7" ht="14.25" customHeight="1" spans="1:5">
      <c r="A7" s="42" t="s">
        <v>18</v>
      </c>
      <c r="B7" s="41" t="s">
        <v>19</v>
      </c>
      <c r="C7" s="41"/>
      <c r="D7" s="41"/>
      <c r="E7" s="66" t="s">
        <v>20</v>
      </c>
    </row>
    <row r="8" ht="14.25" customHeight="1" spans="1:5">
      <c r="A8" s="42" t="s">
        <v>21</v>
      </c>
      <c r="B8" s="41" t="s">
        <v>22</v>
      </c>
      <c r="C8" s="41"/>
      <c r="D8" s="41"/>
      <c r="E8" s="65" t="s">
        <v>23</v>
      </c>
    </row>
    <row r="9" ht="14.25" customHeight="1" spans="1:5">
      <c r="A9" s="42" t="s">
        <v>24</v>
      </c>
      <c r="B9" s="43" t="s">
        <v>25</v>
      </c>
      <c r="C9" s="43"/>
      <c r="D9" s="43"/>
      <c r="E9" s="65" t="s">
        <v>26</v>
      </c>
    </row>
    <row r="10" ht="14.25" customHeight="1" spans="2:5">
      <c r="B10" s="67"/>
      <c r="C10" s="67"/>
      <c r="D10" s="67"/>
      <c r="E10" s="68"/>
    </row>
    <row r="11" ht="14.25" customHeight="1" spans="1:5">
      <c r="A11" s="60" t="s">
        <v>27</v>
      </c>
      <c r="B11" s="61"/>
      <c r="C11" s="61"/>
      <c r="D11" s="61"/>
      <c r="E11" s="62"/>
    </row>
    <row r="12" ht="14.25" customHeight="1" spans="1:5">
      <c r="A12" s="42" t="s">
        <v>28</v>
      </c>
      <c r="B12" s="45" t="s">
        <v>29</v>
      </c>
      <c r="C12" s="41" t="s">
        <v>29</v>
      </c>
      <c r="D12" s="41"/>
      <c r="E12" s="65" t="s">
        <v>30</v>
      </c>
    </row>
    <row r="13" ht="14.25" customHeight="1" spans="1:5">
      <c r="A13" s="42" t="s">
        <v>31</v>
      </c>
      <c r="B13" s="45" t="s">
        <v>32</v>
      </c>
      <c r="C13" s="41" t="s">
        <v>32</v>
      </c>
      <c r="D13" s="41"/>
      <c r="E13" s="65" t="s">
        <v>33</v>
      </c>
    </row>
    <row r="14" ht="14.25" customHeight="1" spans="1:5">
      <c r="A14" s="42" t="s">
        <v>34</v>
      </c>
      <c r="B14" s="69" t="s">
        <v>35</v>
      </c>
      <c r="C14" s="70"/>
      <c r="D14" s="70"/>
      <c r="E14" s="65" t="s">
        <v>36</v>
      </c>
    </row>
    <row r="15" ht="14.25" customHeight="1" spans="1:5">
      <c r="A15" s="42" t="s">
        <v>37</v>
      </c>
      <c r="B15" s="41" t="s">
        <v>32</v>
      </c>
      <c r="C15" s="41" t="s">
        <v>32</v>
      </c>
      <c r="D15" s="41"/>
      <c r="E15" s="44"/>
    </row>
    <row r="16" ht="14.25" customHeight="1" spans="1:5">
      <c r="A16" s="10" t="s">
        <v>38</v>
      </c>
      <c r="B16" s="41" t="b">
        <v>0</v>
      </c>
      <c r="C16" s="41"/>
      <c r="D16" s="41"/>
      <c r="E16" s="65" t="s">
        <v>39</v>
      </c>
    </row>
    <row r="17" ht="14.25" customHeight="1" spans="1:5">
      <c r="A17" s="10" t="s">
        <v>40</v>
      </c>
      <c r="B17" s="41" t="s">
        <v>41</v>
      </c>
      <c r="C17" s="41"/>
      <c r="D17" s="41"/>
      <c r="E17" s="65" t="s">
        <v>42</v>
      </c>
    </row>
    <row r="18" ht="14.25" customHeight="1" spans="1:5">
      <c r="A18" s="10" t="s">
        <v>43</v>
      </c>
      <c r="B18" s="41" t="s">
        <v>44</v>
      </c>
      <c r="C18" s="41"/>
      <c r="D18" s="41"/>
      <c r="E18" s="65"/>
    </row>
    <row r="19" ht="14.25" customHeight="1" spans="1:5">
      <c r="A19" s="10" t="s">
        <v>45</v>
      </c>
      <c r="B19" s="41" t="s">
        <v>46</v>
      </c>
      <c r="C19" s="41"/>
      <c r="D19" s="41"/>
      <c r="E19" s="65"/>
    </row>
    <row r="20" customFormat="1" ht="14.25" customHeight="1" spans="1:5">
      <c r="A20" s="10" t="s">
        <v>47</v>
      </c>
      <c r="B20" s="45" t="s">
        <v>48</v>
      </c>
      <c r="C20" s="41" t="s">
        <v>48</v>
      </c>
      <c r="D20" s="41"/>
      <c r="E20" s="65"/>
    </row>
    <row r="21" s="58" customFormat="1" ht="14.25" customHeight="1" spans="1:5">
      <c r="A21" s="71"/>
      <c r="B21" s="52"/>
      <c r="C21" s="52"/>
      <c r="D21" s="52"/>
      <c r="E21" s="72"/>
    </row>
    <row r="22" ht="14.25" customHeight="1" spans="1:5">
      <c r="A22" s="60" t="s">
        <v>49</v>
      </c>
      <c r="B22" s="61"/>
      <c r="C22" s="61"/>
      <c r="D22" s="61"/>
      <c r="E22" s="62"/>
    </row>
    <row r="23" ht="14.25" customHeight="1" spans="1:5">
      <c r="A23" s="42"/>
      <c r="B23" s="73"/>
      <c r="C23" s="73"/>
      <c r="D23" s="41"/>
      <c r="E23" s="65"/>
    </row>
    <row r="24" s="58" customFormat="1" ht="14.25" customHeight="1" spans="1:5">
      <c r="A24" s="71"/>
      <c r="B24" s="52"/>
      <c r="C24" s="52"/>
      <c r="D24" s="52"/>
      <c r="E24" s="72"/>
    </row>
    <row r="25" ht="14.25" customHeight="1" spans="1:5">
      <c r="A25" s="42" t="s">
        <v>50</v>
      </c>
      <c r="B25" s="41" t="b">
        <v>1</v>
      </c>
      <c r="C25" s="41" t="b">
        <v>0</v>
      </c>
      <c r="D25" s="41"/>
      <c r="E25" s="65" t="s">
        <v>51</v>
      </c>
    </row>
    <row r="26" ht="14.25" customHeight="1" spans="1:5">
      <c r="A26" s="42" t="s">
        <v>52</v>
      </c>
      <c r="B26" s="74" t="str">
        <f>IF(B9="English",LanguageSettings!$B2,IF(B9="Spanish",LanguageSettings!$D2,LanguageSettings!$C2))</f>
        <v>L’exécution du travail a rencontré une exception système, veuillez consulter le fichier journal et le rapport d’expédition</v>
      </c>
      <c r="C26" s="74"/>
      <c r="D26" s="74"/>
      <c r="E26" s="64" t="s">
        <v>53</v>
      </c>
    </row>
    <row r="27" ht="14.25" customHeight="1" spans="1:5">
      <c r="A27" s="75"/>
      <c r="B27" s="67"/>
      <c r="C27" s="67"/>
      <c r="D27" s="67"/>
      <c r="E27" s="68"/>
    </row>
    <row r="28" ht="14.25" customHeight="1" spans="1:5">
      <c r="A28" s="60" t="s">
        <v>54</v>
      </c>
      <c r="B28" s="61"/>
      <c r="C28" s="61"/>
      <c r="D28" s="61"/>
      <c r="E28" s="62"/>
    </row>
    <row r="29" ht="14.25" customHeight="1" spans="1:5">
      <c r="A29" s="10" t="s">
        <v>55</v>
      </c>
      <c r="B29" s="41" t="s">
        <v>56</v>
      </c>
      <c r="C29" s="41"/>
      <c r="D29" s="41"/>
      <c r="E29" s="65" t="s">
        <v>57</v>
      </c>
    </row>
    <row r="30" ht="14.25" customHeight="1" spans="1:5">
      <c r="A30" s="42" t="s">
        <v>58</v>
      </c>
      <c r="B30" s="43" t="s">
        <v>59</v>
      </c>
      <c r="C30" s="76"/>
      <c r="D30" s="43" t="s">
        <v>59</v>
      </c>
      <c r="E30" s="65" t="s">
        <v>60</v>
      </c>
    </row>
    <row r="31" ht="14.25" customHeight="1" spans="1:5">
      <c r="A31" s="42" t="s">
        <v>61</v>
      </c>
      <c r="B31" s="63"/>
      <c r="C31" s="76"/>
      <c r="D31" s="70"/>
      <c r="E31" s="65" t="s">
        <v>62</v>
      </c>
    </row>
    <row r="32" ht="14.25" customHeight="1" spans="1:5">
      <c r="A32" s="42" t="s">
        <v>63</v>
      </c>
      <c r="B32" s="63"/>
      <c r="C32" s="76"/>
      <c r="D32" s="70"/>
      <c r="E32" s="65" t="s">
        <v>64</v>
      </c>
    </row>
    <row r="33" ht="14.25" customHeight="1" spans="1:5">
      <c r="A33" s="42" t="s">
        <v>65</v>
      </c>
      <c r="B33" s="77" t="s">
        <v>25</v>
      </c>
      <c r="C33" s="70"/>
      <c r="D33" s="70"/>
      <c r="E33" s="65" t="s">
        <v>66</v>
      </c>
    </row>
    <row r="34" ht="14.25" customHeight="1" spans="1:5">
      <c r="A34" s="10" t="s">
        <v>67</v>
      </c>
      <c r="B34" s="41" t="b">
        <v>0</v>
      </c>
      <c r="C34" s="41"/>
      <c r="D34" s="41"/>
      <c r="E34" s="65" t="s">
        <v>68</v>
      </c>
    </row>
    <row r="35" ht="14.25" customHeight="1" spans="1:5">
      <c r="A35" s="42" t="s">
        <v>69</v>
      </c>
      <c r="B35" s="41"/>
      <c r="C35" s="41"/>
      <c r="D35" s="41"/>
      <c r="E35" s="65" t="s">
        <v>70</v>
      </c>
    </row>
    <row r="36" ht="14.25" customHeight="1" spans="1:5">
      <c r="A36" s="42" t="s">
        <v>71</v>
      </c>
      <c r="B36" s="41"/>
      <c r="C36" s="41"/>
      <c r="D36" s="41"/>
      <c r="E36" s="64" t="s">
        <v>72</v>
      </c>
    </row>
    <row r="37" ht="14.25" customHeight="1" spans="1:5">
      <c r="A37" s="42" t="s">
        <v>73</v>
      </c>
      <c r="B37" s="41" t="s">
        <v>74</v>
      </c>
      <c r="C37" s="41" t="s">
        <v>75</v>
      </c>
      <c r="D37" s="41" t="s">
        <v>75</v>
      </c>
      <c r="E37" s="64" t="s">
        <v>76</v>
      </c>
    </row>
    <row r="38" ht="14.25" customHeight="1" spans="1:5">
      <c r="A38" s="42" t="s">
        <v>77</v>
      </c>
      <c r="B38" s="74">
        <v>25</v>
      </c>
      <c r="C38" s="74"/>
      <c r="D38" s="74"/>
      <c r="E38" s="64" t="s">
        <v>78</v>
      </c>
    </row>
    <row r="39" ht="14.25" customHeight="1" spans="1:5">
      <c r="A39" s="42" t="s">
        <v>79</v>
      </c>
      <c r="B39" s="74"/>
      <c r="C39" s="74"/>
      <c r="D39" s="74"/>
      <c r="E39" s="64"/>
    </row>
    <row r="40" ht="13.9" customHeight="1" spans="1:4">
      <c r="A40" s="56"/>
      <c r="D40" s="67"/>
    </row>
    <row r="41" ht="15.65" customHeight="1" spans="1:5">
      <c r="A41" s="42" t="s">
        <v>80</v>
      </c>
      <c r="B41" s="78" t="s">
        <v>81</v>
      </c>
      <c r="C41" s="63"/>
      <c r="D41" s="63"/>
      <c r="E41" s="65"/>
    </row>
    <row r="42" ht="13.9" customHeight="1" spans="1:5">
      <c r="A42" s="42" t="s">
        <v>82</v>
      </c>
      <c r="B42" s="43" t="s">
        <v>83</v>
      </c>
      <c r="C42" s="63"/>
      <c r="D42" s="63"/>
      <c r="E42" s="65" t="s">
        <v>84</v>
      </c>
    </row>
    <row r="43" ht="13.9" customHeight="1" spans="1:4">
      <c r="A43" s="56"/>
      <c r="D43" s="67"/>
    </row>
    <row r="44" ht="14.25" customHeight="1" spans="1:5">
      <c r="A44" s="42" t="s">
        <v>85</v>
      </c>
      <c r="B44" s="41" t="b">
        <v>1</v>
      </c>
      <c r="C44" s="41" t="b">
        <v>0</v>
      </c>
      <c r="D44" s="41"/>
      <c r="E44" s="64"/>
    </row>
    <row r="45" ht="14.25" customHeight="1" spans="1:5">
      <c r="A45" s="10" t="s">
        <v>86</v>
      </c>
      <c r="B45" s="43" t="str">
        <f>SUBSTITUTE(IF(B9="English",LanguageSettings!$B3,IF(B9="Spanish",LanguageSettings!$D3,LanguageSettings!$C3)),"%ProcessName%",B3)</f>
        <v>189_HR_Workday_Casiers_Judiciaires - Status Report</v>
      </c>
      <c r="C45" s="43" t="str">
        <f>"DEV - "&amp;SUBSTITUTE(IF(B9="English",LanguageSettings!$B3,IF(B9="Spanish",LanguageSettings!$D3,LanguageSettings!$C3)),"%ProcessName%",B3)</f>
        <v>DEV - 189_HR_Workday_Casiers_Judiciaires - Status Report</v>
      </c>
      <c r="D45" s="43" t="str">
        <f>"INT - "&amp;SUBSTITUTE(IF(B9="English",LanguageSettings!$B3,IF(B9="Spanish",LanguageSettings!$D3,LanguageSettings!$C3)),"%ProcessName%",B3)</f>
        <v>INT - 189_HR_Workday_Casiers_Judiciaires - Status Report</v>
      </c>
      <c r="E45" s="64" t="s">
        <v>87</v>
      </c>
    </row>
    <row r="46" ht="13.9" customHeight="1" spans="1:5">
      <c r="A46" s="10" t="s">
        <v>88</v>
      </c>
      <c r="B46" s="43" t="str">
        <f>IF(B9="English",LanguageSettings!$B4,IF(B9="Spanish",LanguageSettings!$D4,LanguageSettings!$C4))</f>
        <v>&lt;p&gt;Vous trouverez le rapport de dispatch joint à ce mail. 
%SRSummary%&lt;/p&gt;</v>
      </c>
      <c r="C46" s="43"/>
      <c r="D46" s="43"/>
      <c r="E46" s="64" t="s">
        <v>89</v>
      </c>
    </row>
    <row r="47" ht="14.25" customHeight="1" spans="1:5">
      <c r="A47" s="10" t="s">
        <v>90</v>
      </c>
      <c r="B47" s="43" t="str">
        <f>IF(B9="English",LanguageSettings!$B5,IF(B9="Spanish",LanguageSettings!$D5,LanguageSettings!$C5))</f>
        <v>&lt;p&gt;Le processus s’est arrêté après avoir atteint le nombre maximum d’erreurs inattendues autorisées. Vous trouverez le rapport de dispatch joint à ce mail.&lt;/p&gt;</v>
      </c>
      <c r="C47" s="43"/>
      <c r="D47" s="43"/>
      <c r="E47" s="64" t="s">
        <v>91</v>
      </c>
    </row>
    <row r="48" ht="13.9" customHeight="1" spans="1:5">
      <c r="A48" s="10" t="s">
        <v>92</v>
      </c>
      <c r="B48" s="43" t="str">
        <f>IF(B9="English",LanguageSettings!$B6,IF(B9="Spanish",LanguageSettings!$D6,LanguageSettings!$C6))</f>
        <v>&lt;p&gt;Résumé : &lt;br&gt;Au total, {0} Transaction(s) ont été traitées. {1} Transaction(s) ont réussi et {2} Transaction(s) n’ont pas réussi. &lt;br&gt;&lt;br&gt;Anomalies : {3}&lt;/p&gt;</v>
      </c>
      <c r="C48" s="76"/>
      <c r="D48" s="70"/>
      <c r="E48" s="64" t="s">
        <v>93</v>
      </c>
    </row>
    <row r="49" ht="14.25" customHeight="1" spans="1:5">
      <c r="A49" s="10" t="s">
        <v>94</v>
      </c>
      <c r="B49" s="43" t="str">
        <f>IF(B9="English",LanguageSettings!$B7,IF(B9="Spanish",LanguageSettings!$D7,LanguageSettings!$C7))</f>
        <v>&lt;p&gt;Résumé : &lt;br&gt;Aucune donnée de transaction n’a été trouvée. Veuillez vérifier le processus pour plus de détails.&lt;/p&gt;</v>
      </c>
      <c r="C49" s="43"/>
      <c r="D49" s="43"/>
      <c r="E49" s="64" t="s">
        <v>95</v>
      </c>
    </row>
    <row r="50" ht="14.25" customHeight="1" spans="1:5">
      <c r="A50" s="42" t="s">
        <v>96</v>
      </c>
      <c r="B50" s="43" t="s">
        <v>59</v>
      </c>
      <c r="C50" s="55" t="s">
        <v>97</v>
      </c>
      <c r="D50" s="43" t="s">
        <v>59</v>
      </c>
      <c r="E50" s="65" t="s">
        <v>98</v>
      </c>
    </row>
    <row r="51" ht="14.25" customHeight="1" spans="1:5">
      <c r="A51" s="10" t="s">
        <v>99</v>
      </c>
      <c r="B51" s="43" t="s">
        <v>100</v>
      </c>
      <c r="C51" s="43"/>
      <c r="D51" s="43"/>
      <c r="E51" s="64" t="s">
        <v>101</v>
      </c>
    </row>
    <row r="52" ht="14.25" customHeight="1" spans="1:5">
      <c r="A52" s="10" t="s">
        <v>102</v>
      </c>
      <c r="B52" s="43"/>
      <c r="C52" s="43"/>
      <c r="D52" s="43"/>
      <c r="E52" s="64" t="s">
        <v>103</v>
      </c>
    </row>
    <row r="53" ht="14.25" customHeight="1" spans="1:5">
      <c r="A53" s="10" t="s">
        <v>104</v>
      </c>
      <c r="B53" s="43">
        <v>3</v>
      </c>
      <c r="C53" s="43"/>
      <c r="D53" s="43"/>
      <c r="E53" s="64" t="s">
        <v>105</v>
      </c>
    </row>
    <row r="54" ht="14.25" customHeight="1" spans="1:5">
      <c r="A54" s="10"/>
      <c r="B54" s="43"/>
      <c r="C54" s="43"/>
      <c r="D54" s="43"/>
      <c r="E54" s="64"/>
    </row>
    <row r="55" ht="14.25" customHeight="1" spans="1:5">
      <c r="A55" s="10" t="s">
        <v>106</v>
      </c>
      <c r="B55" s="43" t="s">
        <v>107</v>
      </c>
      <c r="C55" s="43"/>
      <c r="D55" s="43"/>
      <c r="E55" s="64" t="s">
        <v>108</v>
      </c>
    </row>
    <row r="56" ht="14.25" customHeight="1" spans="1:5">
      <c r="A56" s="10" t="s">
        <v>109</v>
      </c>
      <c r="B56" s="43" t="s">
        <v>110</v>
      </c>
      <c r="C56" s="43"/>
      <c r="D56" s="43"/>
      <c r="E56" s="64" t="s">
        <v>111</v>
      </c>
    </row>
    <row r="57" ht="14.25" customHeight="1" spans="1:5">
      <c r="A57" s="10" t="s">
        <v>112</v>
      </c>
      <c r="B57" s="43" t="s">
        <v>113</v>
      </c>
      <c r="C57" s="43"/>
      <c r="D57" s="43"/>
      <c r="E57" s="64" t="s">
        <v>114</v>
      </c>
    </row>
    <row r="58" ht="14.25" customHeight="1" spans="1:5">
      <c r="A58" s="10" t="s">
        <v>115</v>
      </c>
      <c r="B58" s="41" t="b">
        <v>0</v>
      </c>
      <c r="C58" s="43"/>
      <c r="D58" s="43"/>
      <c r="E58" s="64" t="s">
        <v>116</v>
      </c>
    </row>
    <row r="59" ht="14.25" customHeight="1" spans="1:5">
      <c r="A59" s="10" t="s">
        <v>117</v>
      </c>
      <c r="B59" s="41" t="s">
        <v>118</v>
      </c>
      <c r="C59" s="43"/>
      <c r="D59" s="43"/>
      <c r="E59" s="64" t="s">
        <v>119</v>
      </c>
    </row>
    <row r="60" ht="14.25" customHeight="1" spans="1:5">
      <c r="A60" s="75"/>
      <c r="B60" s="79"/>
      <c r="C60" s="79"/>
      <c r="D60" s="79"/>
      <c r="E60" s="80"/>
    </row>
    <row r="61" ht="14.25" customHeight="1" spans="1:5">
      <c r="A61" s="10" t="s">
        <v>120</v>
      </c>
      <c r="B61" s="41" t="b">
        <v>1</v>
      </c>
      <c r="C61" s="41" t="b">
        <v>0</v>
      </c>
      <c r="D61" s="41"/>
      <c r="E61" s="64"/>
    </row>
    <row r="62" ht="14.25" customHeight="1" spans="1:5">
      <c r="A62" s="10" t="s">
        <v>121</v>
      </c>
      <c r="B62" s="43" t="str">
        <f>SUBSTITUTE(IF(B9="English",LanguageSettings!$B10,IF(B9="Spanish",LanguageSettings!$D10,LanguageSettings!$C10)),"%ProcessName%",B3)</f>
        <v>189_HR_Workday_Casiers_Judiciaires - System Exception</v>
      </c>
      <c r="C62" s="43" t="str">
        <f>"DEV - "&amp;SUBSTITUTE(IF(B9="English",LanguageSettings!$B10,IF(B9="Spanish",LanguageSettings!$D10,LanguageSettings!$C10)),"%ProcessName%",B3)</f>
        <v>DEV - 189_HR_Workday_Casiers_Judiciaires - System Exception</v>
      </c>
      <c r="D62" s="43" t="str">
        <f>"INT - "&amp;SUBSTITUTE(IF(B9="English",LanguageSettings!$B10,IF(B9="Spanish",LanguageSettings!$D10,LanguageSettings!$C10)),"%ProcessName%",B3)</f>
        <v>INT - 189_HR_Workday_Casiers_Judiciaires - System Exception</v>
      </c>
      <c r="E62" s="65" t="s">
        <v>122</v>
      </c>
    </row>
    <row r="63" ht="14.25" customHeight="1" spans="1:5">
      <c r="A63" s="10" t="s">
        <v>123</v>
      </c>
      <c r="B63" s="43" t="str">
        <f>IF(B9="English",LanguageSettings!$B11,IF(B9="Spanish",LanguageSettings!$D11,LanguageSettings!$C11))</f>
        <v>&lt;p&gt;Le %Process% a été interrompu en raison d’une erreur inattendue lors de l’étape d’initialisation. Veuillez informer votre personne de contact RPA.&lt;/p&gt; </v>
      </c>
      <c r="C63" s="43"/>
      <c r="D63" s="43"/>
      <c r="E63" s="65" t="s">
        <v>124</v>
      </c>
    </row>
    <row r="64" ht="14.25" customHeight="1" spans="1:5">
      <c r="A64" s="42" t="s">
        <v>125</v>
      </c>
      <c r="B64" s="43"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43"/>
      <c r="D64" s="43"/>
      <c r="E64" s="65" t="s">
        <v>126</v>
      </c>
    </row>
    <row r="65" ht="14.25" customHeight="1" spans="1:5">
      <c r="A65" s="42" t="s">
        <v>127</v>
      </c>
      <c r="B65" s="43" t="s">
        <v>59</v>
      </c>
      <c r="C65" s="55" t="s">
        <v>97</v>
      </c>
      <c r="D65" s="43" t="s">
        <v>59</v>
      </c>
      <c r="E65" s="65" t="s">
        <v>128</v>
      </c>
    </row>
    <row r="66" ht="14.25" customHeight="1" spans="1:5">
      <c r="A66" s="10" t="s">
        <v>129</v>
      </c>
      <c r="B66" s="43" t="s">
        <v>100</v>
      </c>
      <c r="C66" s="81"/>
      <c r="D66" s="81"/>
      <c r="E66" s="65" t="s">
        <v>130</v>
      </c>
    </row>
    <row r="67" ht="14.25" customHeight="1" spans="1:5">
      <c r="A67" s="10" t="s">
        <v>131</v>
      </c>
      <c r="B67" s="81"/>
      <c r="C67" s="81"/>
      <c r="D67" s="81"/>
      <c r="E67" s="65" t="s">
        <v>132</v>
      </c>
    </row>
    <row r="68" ht="14.25" customHeight="1" spans="1:4">
      <c r="A68" s="75"/>
      <c r="B68" s="67"/>
      <c r="C68" s="67"/>
      <c r="D68" s="67"/>
    </row>
    <row r="69" ht="14.25" customHeight="1" spans="1:5">
      <c r="A69" s="10" t="s">
        <v>133</v>
      </c>
      <c r="B69" s="41" t="b">
        <v>1</v>
      </c>
      <c r="C69" s="41" t="b">
        <v>0</v>
      </c>
      <c r="D69" s="41"/>
      <c r="E69" s="65"/>
    </row>
    <row r="70" ht="14.25" customHeight="1" spans="1:5">
      <c r="A70" s="42" t="s">
        <v>134</v>
      </c>
      <c r="B70" s="43"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43"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43"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65" t="s">
        <v>135</v>
      </c>
    </row>
    <row r="71" ht="14.25" customHeight="1" spans="1:5">
      <c r="A71" s="42" t="s">
        <v>136</v>
      </c>
      <c r="B71" s="63"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63"/>
      <c r="D71" s="63"/>
      <c r="E71" s="65"/>
    </row>
    <row r="72" ht="14.25" customHeight="1" spans="1:5">
      <c r="A72" s="42" t="s">
        <v>137</v>
      </c>
      <c r="B72" s="43" t="s">
        <v>59</v>
      </c>
      <c r="C72" s="55" t="s">
        <v>97</v>
      </c>
      <c r="D72" s="43" t="s">
        <v>59</v>
      </c>
      <c r="E72" s="65" t="s">
        <v>138</v>
      </c>
    </row>
    <row r="73" ht="14.25" customHeight="1" spans="1:5">
      <c r="A73" s="42" t="s">
        <v>139</v>
      </c>
      <c r="B73" t="s">
        <v>140</v>
      </c>
      <c r="C73" s="41"/>
      <c r="D73" s="41"/>
      <c r="E73" s="65" t="s">
        <v>141</v>
      </c>
    </row>
    <row r="74" ht="14.25" customHeight="1" spans="1:5">
      <c r="A74" s="10" t="s">
        <v>142</v>
      </c>
      <c r="B74" s="41"/>
      <c r="C74" s="41"/>
      <c r="D74" s="41"/>
      <c r="E74" s="65" t="s">
        <v>143</v>
      </c>
    </row>
    <row r="75" ht="14.25" customHeight="1" spans="1:5">
      <c r="A75" s="82"/>
      <c r="B75" s="57"/>
      <c r="C75" s="57"/>
      <c r="D75" s="57"/>
      <c r="E75" s="83"/>
    </row>
    <row r="76" ht="14.25" customHeight="1" spans="1:5">
      <c r="A76" s="10" t="s">
        <v>144</v>
      </c>
      <c r="B76" s="41" t="b">
        <v>0</v>
      </c>
      <c r="C76" s="41" t="b">
        <v>0</v>
      </c>
      <c r="D76" s="41"/>
      <c r="E76" s="65" t="s">
        <v>145</v>
      </c>
    </row>
    <row r="77" ht="14.25" customHeight="1" spans="1:5">
      <c r="A77" s="42" t="s">
        <v>146</v>
      </c>
      <c r="B77" s="43" t="str">
        <f>SUBSTITUTE(IF(B9="English",LanguageSettings!$B8,IF(B9="Spanish",LanguageSettings!$D8,LanguageSettings!$C8)),"%Process%",B3)</f>
        <v>189_HR_Workday_Casiers_Judiciaires - Process Started</v>
      </c>
      <c r="C77" s="43" t="str">
        <f>"DEV - "&amp;SUBSTITUTE(IF(B9="English",LanguageSettings!$B8,IF(B9="Spanish",LanguageSettings!$D8,LanguageSettings!$C8)),"%Process%",B3)</f>
        <v>DEV - 189_HR_Workday_Casiers_Judiciaires - Process Started</v>
      </c>
      <c r="D77" s="43" t="str">
        <f>"INT - "&amp;SUBSTITUTE(IF(B9="English",LanguageSettings!$B8,IF(B9="Spanish",LanguageSettings!$D8,LanguageSettings!$C8)),"%Process%",B3)</f>
        <v>INT - 189_HR_Workday_Casiers_Judiciaires - Process Started</v>
      </c>
      <c r="E77" s="65" t="s">
        <v>147</v>
      </c>
    </row>
    <row r="78" ht="14.25" customHeight="1" spans="1:5">
      <c r="A78" s="42" t="s">
        <v>148</v>
      </c>
      <c r="B78" s="43" t="str">
        <f>IF(B9="English",LanguageSettings!$B9,IF(B9="Spanish",LanguageSettings!$D9,LanguageSettings!$C9))</f>
        <v>&lt;p&gt;Le processus d’exécution a démarré avec succès et va maintenant commencer à traiter les éléments de travail dans la file d’attente (s’il y en a).&lt;/p&gt;</v>
      </c>
      <c r="C78" s="63"/>
      <c r="D78" s="63"/>
      <c r="E78" s="65" t="s">
        <v>149</v>
      </c>
    </row>
    <row r="79" ht="14.25" customHeight="1" spans="1:5">
      <c r="A79" s="42" t="s">
        <v>150</v>
      </c>
      <c r="B79" s="43" t="s">
        <v>59</v>
      </c>
      <c r="C79" s="55" t="s">
        <v>97</v>
      </c>
      <c r="D79" s="43" t="s">
        <v>59</v>
      </c>
      <c r="E79" s="65" t="s">
        <v>151</v>
      </c>
    </row>
    <row r="80" ht="14.25" customHeight="1" spans="1:5">
      <c r="A80" s="42" t="s">
        <v>152</v>
      </c>
      <c r="B80" t="s">
        <v>100</v>
      </c>
      <c r="C80" s="41"/>
      <c r="D80" s="41"/>
      <c r="E80" s="65" t="s">
        <v>153</v>
      </c>
    </row>
    <row r="81" ht="14.25" customHeight="1" spans="1:5">
      <c r="A81" s="10" t="s">
        <v>154</v>
      </c>
      <c r="B81" s="43"/>
      <c r="C81" s="41"/>
      <c r="D81" s="41"/>
      <c r="E81" s="65" t="s">
        <v>155</v>
      </c>
    </row>
    <row r="82" s="33" customFormat="1" ht="14.25" customHeight="1" spans="2:5">
      <c r="B82" s="34"/>
      <c r="C82" s="34"/>
      <c r="D82" s="34"/>
      <c r="E82" s="59"/>
    </row>
  </sheetData>
  <mergeCells count="4">
    <mergeCell ref="A2:E2"/>
    <mergeCell ref="A11:E11"/>
    <mergeCell ref="A22:E22"/>
    <mergeCell ref="A28:E28"/>
  </mergeCells>
  <dataValidations count="4">
    <dataValidation type="list" allowBlank="1" showInputMessage="1" showErrorMessage="1" sqref="B4:D4">
      <formula1>DataValidation!$C$2:$C$3</formula1>
    </dataValidation>
    <dataValidation type="list" allowBlank="1" showInputMessage="1" showErrorMessage="1" sqref="B9:D9">
      <formula1>DataValidation!$A$2:$A$4</formula1>
    </dataValidation>
    <dataValidation type="list" allowBlank="1" showInputMessage="1" showErrorMessage="1" sqref="B16:D16 B25:D25 B34:D34 B44:D44 B61:D61 B69:D69">
      <formula1>DataValidation!$B$2:$B$3</formula1>
    </dataValidation>
    <dataValidation type="list" allowBlank="1" showInputMessage="1" showErrorMessage="1" sqref="B29:D29">
      <formula1>DataValidation!$D$2:$D$4</formula1>
    </dataValidation>
  </dataValidations>
  <hyperlinks>
    <hyperlink ref="C65" r:id="rId1" display="fkinedieng.ext@fdjunited.com"/>
    <hyperlink ref="C72" r:id="rId1" display="fkinedieng.ext@fdjunited.com"/>
    <hyperlink ref="C79" r:id="rId1" display="fkinedieng.ext@fdjunited.com"/>
    <hyperlink ref="C50"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1"/>
  <sheetViews>
    <sheetView showGridLines="0" tabSelected="1" workbookViewId="0">
      <pane ySplit="1" topLeftCell="A17" activePane="bottomLeft" state="frozen"/>
      <selection/>
      <selection pane="bottomLeft" activeCell="A33" sqref="A33"/>
    </sheetView>
  </sheetViews>
  <sheetFormatPr defaultColWidth="14.4571428571429" defaultRowHeight="15" customHeight="1"/>
  <cols>
    <col min="1" max="1" width="41.1809523809524" style="33" customWidth="1"/>
    <col min="2" max="2" width="112.266666666667" style="34" customWidth="1"/>
    <col min="3" max="3" width="30.3619047619048" style="34" customWidth="1"/>
    <col min="4" max="4" width="36.7238095238095" style="34" customWidth="1"/>
    <col min="5" max="5" width="214.266666666667" style="35" customWidth="1"/>
  </cols>
  <sheetData>
    <row r="1" s="31" customFormat="1" ht="15.65" customHeight="1" spans="1:5">
      <c r="A1" s="36" t="s">
        <v>0</v>
      </c>
      <c r="B1" s="37" t="s">
        <v>1</v>
      </c>
      <c r="C1" s="37" t="s">
        <v>2</v>
      </c>
      <c r="D1" s="37" t="s">
        <v>3</v>
      </c>
      <c r="E1" s="13" t="s">
        <v>4</v>
      </c>
    </row>
    <row r="2" ht="14.25" customHeight="1" spans="1:14">
      <c r="A2" s="38" t="s">
        <v>156</v>
      </c>
      <c r="B2" s="39" t="s">
        <v>157</v>
      </c>
      <c r="C2" s="39"/>
      <c r="D2" s="39"/>
      <c r="E2" s="40" t="s">
        <v>158</v>
      </c>
      <c r="F2" s="41"/>
      <c r="G2" s="41"/>
      <c r="H2" s="41"/>
      <c r="I2" s="41"/>
      <c r="J2" s="41"/>
      <c r="K2" s="41"/>
      <c r="L2" s="41"/>
      <c r="M2" s="41"/>
      <c r="N2" s="41"/>
    </row>
    <row r="3" ht="14.25" customHeight="1" spans="1:14">
      <c r="A3" s="10" t="s">
        <v>159</v>
      </c>
      <c r="B3" s="41" t="s">
        <v>160</v>
      </c>
      <c r="C3" s="41"/>
      <c r="D3" s="41"/>
      <c r="E3" s="40" t="s">
        <v>158</v>
      </c>
      <c r="F3" s="41"/>
      <c r="G3" s="41"/>
      <c r="H3" s="41"/>
      <c r="I3" s="41"/>
      <c r="J3" s="41"/>
      <c r="K3" s="41"/>
      <c r="L3" s="41"/>
      <c r="M3" s="41"/>
      <c r="N3" s="41"/>
    </row>
    <row r="4" ht="14.25" customHeight="1" spans="1:14">
      <c r="A4" s="10" t="s">
        <v>161</v>
      </c>
      <c r="B4" s="41" t="s">
        <v>157</v>
      </c>
      <c r="C4" s="41"/>
      <c r="D4" s="41"/>
      <c r="E4" s="40" t="s">
        <v>158</v>
      </c>
      <c r="F4" s="41"/>
      <c r="G4" s="41"/>
      <c r="H4" s="41"/>
      <c r="I4" s="41"/>
      <c r="J4" s="41"/>
      <c r="K4" s="41"/>
      <c r="L4" s="41"/>
      <c r="M4" s="41"/>
      <c r="N4" s="41"/>
    </row>
    <row r="5" ht="14.25" customHeight="1" spans="1:14">
      <c r="A5" s="42" t="s">
        <v>162</v>
      </c>
      <c r="B5" s="41" t="s">
        <v>163</v>
      </c>
      <c r="C5" s="41"/>
      <c r="D5" s="41"/>
      <c r="E5" s="40"/>
      <c r="F5" s="41"/>
      <c r="G5" s="41"/>
      <c r="H5" s="41"/>
      <c r="I5" s="41"/>
      <c r="J5" s="41"/>
      <c r="K5" s="41"/>
      <c r="L5" s="41"/>
      <c r="M5" s="41"/>
      <c r="N5" s="41"/>
    </row>
    <row r="6" ht="14.25" customHeight="1" spans="1:14">
      <c r="A6" s="42" t="s">
        <v>164</v>
      </c>
      <c r="B6" s="43" t="s">
        <v>165</v>
      </c>
      <c r="C6" s="41"/>
      <c r="D6" s="41"/>
      <c r="E6" s="40"/>
      <c r="F6" s="41"/>
      <c r="G6" s="41"/>
      <c r="H6" s="41"/>
      <c r="I6" s="41"/>
      <c r="J6" s="41"/>
      <c r="K6" s="41"/>
      <c r="L6" s="41"/>
      <c r="M6" s="41"/>
      <c r="N6" s="41"/>
    </row>
    <row r="7" ht="14.25" customHeight="1" spans="1:14">
      <c r="A7" s="42" t="s">
        <v>166</v>
      </c>
      <c r="B7" t="s">
        <v>59</v>
      </c>
      <c r="C7" s="41"/>
      <c r="D7" s="41"/>
      <c r="E7" s="40"/>
      <c r="F7" s="41"/>
      <c r="G7" s="41"/>
      <c r="H7" s="41"/>
      <c r="I7" s="41"/>
      <c r="J7" s="41"/>
      <c r="K7" s="41"/>
      <c r="L7" s="41"/>
      <c r="M7" s="41"/>
      <c r="N7" s="41"/>
    </row>
    <row r="8" ht="14.25" customHeight="1" spans="1:5">
      <c r="A8" s="42" t="s">
        <v>167</v>
      </c>
      <c r="B8" s="41" t="s">
        <v>168</v>
      </c>
      <c r="C8" s="41" t="s">
        <v>169</v>
      </c>
      <c r="D8" s="41" t="s">
        <v>170</v>
      </c>
      <c r="E8" s="44"/>
    </row>
    <row r="9" ht="14.25" customHeight="1" spans="1:5">
      <c r="A9" s="42" t="s">
        <v>171</v>
      </c>
      <c r="B9" s="41" t="s">
        <v>172</v>
      </c>
      <c r="C9" s="41"/>
      <c r="D9" s="41"/>
      <c r="E9" s="44"/>
    </row>
    <row r="10" ht="14.25" customHeight="1" spans="1:5">
      <c r="A10" s="42" t="s">
        <v>173</v>
      </c>
      <c r="B10" s="41" t="s">
        <v>174</v>
      </c>
      <c r="C10" s="41" t="s">
        <v>175</v>
      </c>
      <c r="D10" s="41" t="s">
        <v>176</v>
      </c>
      <c r="E10" s="44"/>
    </row>
    <row r="11" ht="14.25" customHeight="1" spans="1:5">
      <c r="A11" s="42" t="s">
        <v>177</v>
      </c>
      <c r="B11" s="41" t="s">
        <v>178</v>
      </c>
      <c r="C11" s="41"/>
      <c r="D11" s="41"/>
      <c r="E11" s="44"/>
    </row>
    <row r="12" ht="14.25" customHeight="1" spans="1:5">
      <c r="A12" s="42" t="s">
        <v>179</v>
      </c>
      <c r="B12" s="41" t="s">
        <v>180</v>
      </c>
      <c r="C12" s="41"/>
      <c r="D12" s="41"/>
      <c r="E12" s="44"/>
    </row>
    <row r="13" ht="14.25" customHeight="1" spans="1:5">
      <c r="A13" s="42" t="s">
        <v>181</v>
      </c>
      <c r="B13" s="41" t="s">
        <v>182</v>
      </c>
      <c r="C13" s="41"/>
      <c r="D13" s="41"/>
      <c r="E13" s="44"/>
    </row>
    <row r="14" ht="14.25" customHeight="1" spans="1:5">
      <c r="A14" s="42" t="s">
        <v>183</v>
      </c>
      <c r="B14" s="41" t="s">
        <v>184</v>
      </c>
      <c r="C14" s="41" t="s">
        <v>185</v>
      </c>
      <c r="D14" s="41" t="s">
        <v>186</v>
      </c>
      <c r="E14" s="44" t="s">
        <v>187</v>
      </c>
    </row>
    <row r="15" ht="14.25" customHeight="1" spans="1:5">
      <c r="A15" s="42" t="s">
        <v>188</v>
      </c>
      <c r="B15" s="41" t="s">
        <v>189</v>
      </c>
      <c r="C15" s="41"/>
      <c r="D15" s="41"/>
      <c r="E15" s="44"/>
    </row>
    <row r="17" ht="14.25" customHeight="1" spans="1:5">
      <c r="A17" s="42" t="s">
        <v>190</v>
      </c>
      <c r="B17" s="45" t="s">
        <v>191</v>
      </c>
      <c r="C17" s="41"/>
      <c r="D17" s="41"/>
      <c r="E17" s="44"/>
    </row>
    <row r="18" ht="14.25" customHeight="1" spans="1:5">
      <c r="A18" s="42" t="s">
        <v>192</v>
      </c>
      <c r="B18" s="45">
        <v>20</v>
      </c>
      <c r="C18" s="41"/>
      <c r="D18" s="41"/>
      <c r="E18" s="44"/>
    </row>
    <row r="19" ht="14.25" customHeight="1" spans="1:5">
      <c r="A19" s="42" t="s">
        <v>193</v>
      </c>
      <c r="B19" s="45" t="s">
        <v>194</v>
      </c>
      <c r="C19" s="41" t="s">
        <v>194</v>
      </c>
      <c r="D19" s="41"/>
      <c r="E19" s="44"/>
    </row>
    <row r="20" ht="14.25" customHeight="1" spans="1:5">
      <c r="A20" s="42" t="s">
        <v>195</v>
      </c>
      <c r="B20" s="45" t="s">
        <v>196</v>
      </c>
      <c r="C20" s="41" t="s">
        <v>196</v>
      </c>
      <c r="D20" s="41"/>
      <c r="E20" s="44"/>
    </row>
    <row r="21" ht="14.25" customHeight="1" spans="1:5">
      <c r="A21" s="42" t="s">
        <v>197</v>
      </c>
      <c r="B21" s="45" t="s">
        <v>198</v>
      </c>
      <c r="C21" s="41" t="s">
        <v>198</v>
      </c>
      <c r="D21" s="41"/>
      <c r="E21" s="44"/>
    </row>
    <row r="22" ht="14.25" customHeight="1" spans="1:5">
      <c r="A22" s="42" t="s">
        <v>199</v>
      </c>
      <c r="B22" s="45" t="s">
        <v>200</v>
      </c>
      <c r="C22" s="41" t="s">
        <v>200</v>
      </c>
      <c r="D22" s="41"/>
      <c r="E22" s="44"/>
    </row>
    <row r="23" ht="14.25" customHeight="1" spans="1:5">
      <c r="A23" s="42" t="s">
        <v>201</v>
      </c>
      <c r="B23" s="46" t="s">
        <v>202</v>
      </c>
      <c r="C23" s="47" t="s">
        <v>202</v>
      </c>
      <c r="D23" s="41"/>
      <c r="E23" s="44"/>
    </row>
    <row r="24" ht="14.25" customHeight="1" spans="1:5">
      <c r="A24" s="42" t="s">
        <v>203</v>
      </c>
      <c r="B24" s="46" t="s">
        <v>204</v>
      </c>
      <c r="C24" s="47" t="s">
        <v>204</v>
      </c>
      <c r="D24" s="41"/>
      <c r="E24" s="44"/>
    </row>
    <row r="25" ht="14.25" customHeight="1" spans="1:5">
      <c r="A25" s="42" t="s">
        <v>205</v>
      </c>
      <c r="B25" s="46" t="s">
        <v>206</v>
      </c>
      <c r="C25" s="47" t="s">
        <v>206</v>
      </c>
      <c r="D25" s="41"/>
      <c r="E25" s="44"/>
    </row>
    <row r="26" ht="14.25" customHeight="1" spans="1:5">
      <c r="A26" s="42" t="s">
        <v>207</v>
      </c>
      <c r="B26" s="46" t="s">
        <v>208</v>
      </c>
      <c r="C26" s="47" t="s">
        <v>208</v>
      </c>
      <c r="D26" s="41"/>
      <c r="E26" s="44"/>
    </row>
    <row r="27" ht="14.25" customHeight="1" spans="1:5">
      <c r="A27" s="42" t="s">
        <v>209</v>
      </c>
      <c r="B27" s="48">
        <v>0.5</v>
      </c>
      <c r="C27" s="49">
        <v>0.5</v>
      </c>
      <c r="D27" s="41"/>
      <c r="E27" s="44"/>
    </row>
    <row r="28" s="32" customFormat="1" ht="14.25" customHeight="1" spans="1:5">
      <c r="A28" s="50"/>
      <c r="B28" s="51"/>
      <c r="C28" s="51"/>
      <c r="D28" s="52"/>
      <c r="E28" s="53"/>
    </row>
    <row r="29" ht="14.25" customHeight="1" spans="1:5">
      <c r="A29" s="42" t="s">
        <v>210</v>
      </c>
      <c r="B29" s="46" t="s">
        <v>211</v>
      </c>
      <c r="C29" s="47" t="s">
        <v>211</v>
      </c>
      <c r="D29" s="41"/>
      <c r="E29" s="44"/>
    </row>
    <row r="30" ht="14.25" customHeight="1" spans="1:5">
      <c r="A30" s="42" t="s">
        <v>212</v>
      </c>
      <c r="B30" s="54" t="s">
        <v>213</v>
      </c>
      <c r="C30" s="47" t="s">
        <v>213</v>
      </c>
      <c r="D30" s="41"/>
      <c r="E30" s="44"/>
    </row>
    <row r="31" ht="14.25" customHeight="1" spans="1:5">
      <c r="A31" s="42" t="s">
        <v>214</v>
      </c>
      <c r="B31" s="54" t="s">
        <v>215</v>
      </c>
      <c r="C31" s="47" t="s">
        <v>215</v>
      </c>
      <c r="D31" s="41"/>
      <c r="E31" s="44"/>
    </row>
    <row r="32" ht="14.25" customHeight="1" spans="1:5">
      <c r="A32" s="42" t="s">
        <v>216</v>
      </c>
      <c r="B32" s="54" t="s">
        <v>217</v>
      </c>
      <c r="C32" s="47" t="s">
        <v>217</v>
      </c>
      <c r="D32" s="41"/>
      <c r="E32" s="44"/>
    </row>
    <row r="33" ht="14.25" customHeight="1" spans="1:5">
      <c r="A33" s="42" t="s">
        <v>218</v>
      </c>
      <c r="B33" s="54" t="s">
        <v>219</v>
      </c>
      <c r="C33" s="47" t="s">
        <v>219</v>
      </c>
      <c r="D33" s="41"/>
      <c r="E33" s="44"/>
    </row>
    <row r="35" ht="14.25" customHeight="1" spans="1:5">
      <c r="A35" s="42" t="s">
        <v>220</v>
      </c>
      <c r="B35" s="41" t="s">
        <v>221</v>
      </c>
      <c r="C35" s="41"/>
      <c r="D35" s="41"/>
      <c r="E35" s="44"/>
    </row>
    <row r="36" ht="14.25" customHeight="1" spans="1:5">
      <c r="A36" s="42" t="s">
        <v>222</v>
      </c>
      <c r="B36" s="41" t="s">
        <v>223</v>
      </c>
      <c r="C36" s="41"/>
      <c r="D36" s="41"/>
      <c r="E36" s="44"/>
    </row>
    <row r="37" ht="14.25" customHeight="1" spans="1:5">
      <c r="A37" s="42" t="s">
        <v>224</v>
      </c>
      <c r="B37" s="41" t="s">
        <v>225</v>
      </c>
      <c r="C37" s="41"/>
      <c r="D37" s="41"/>
      <c r="E37" s="44"/>
    </row>
    <row r="38" ht="14.25" customHeight="1" spans="1:5">
      <c r="A38" s="42"/>
      <c r="B38" s="41"/>
      <c r="C38" s="41"/>
      <c r="D38" s="41"/>
      <c r="E38" s="44"/>
    </row>
    <row r="39" ht="14.25" customHeight="1" spans="1:5">
      <c r="A39" s="42" t="s">
        <v>226</v>
      </c>
      <c r="B39" s="41" t="s">
        <v>160</v>
      </c>
      <c r="C39" s="41" t="s">
        <v>157</v>
      </c>
      <c r="D39" s="41" t="s">
        <v>157</v>
      </c>
      <c r="E39" s="44"/>
    </row>
    <row r="40" ht="14.25" customHeight="1" spans="1:5">
      <c r="A40" s="42" t="s">
        <v>227</v>
      </c>
      <c r="B40" s="41"/>
      <c r="C40" s="55" t="s">
        <v>97</v>
      </c>
      <c r="D40" s="55" t="s">
        <v>97</v>
      </c>
      <c r="E40" s="44"/>
    </row>
    <row r="41" ht="14.25" customHeight="1" spans="1:5">
      <c r="A41" s="42" t="s">
        <v>228</v>
      </c>
      <c r="B41" s="41" t="s">
        <v>229</v>
      </c>
      <c r="C41" s="41" t="s">
        <v>229</v>
      </c>
      <c r="D41" s="41" t="s">
        <v>229</v>
      </c>
      <c r="E41" s="44"/>
    </row>
    <row r="42" ht="14.25" customHeight="1" spans="1:5">
      <c r="A42" s="42" t="s">
        <v>230</v>
      </c>
      <c r="B42" s="41" t="s">
        <v>231</v>
      </c>
      <c r="C42" s="41" t="s">
        <v>231</v>
      </c>
      <c r="D42" s="41" t="s">
        <v>231</v>
      </c>
      <c r="E42" s="44"/>
    </row>
    <row r="43" ht="14.25" customHeight="1" spans="1:5">
      <c r="A43" s="42" t="s">
        <v>232</v>
      </c>
      <c r="B43" s="41" t="s">
        <v>233</v>
      </c>
      <c r="C43" s="41" t="s">
        <v>234</v>
      </c>
      <c r="D43" s="41" t="s">
        <v>235</v>
      </c>
      <c r="E43" s="44"/>
    </row>
    <row r="44" ht="14.25" customHeight="1" spans="1:5">
      <c r="A44" s="42"/>
      <c r="B44" s="41"/>
      <c r="C44" s="41"/>
      <c r="D44" s="41"/>
      <c r="E44" s="44"/>
    </row>
    <row r="45" ht="14.25" customHeight="1" spans="1:5">
      <c r="A45" s="42"/>
      <c r="B45" s="41"/>
      <c r="C45" s="41"/>
      <c r="D45" s="41"/>
      <c r="E45" s="44"/>
    </row>
    <row r="46" customHeight="1" spans="1:4">
      <c r="A46" s="56"/>
      <c r="B46" s="57"/>
      <c r="C46" s="57"/>
      <c r="D46" s="57"/>
    </row>
    <row r="47" customHeight="1" spans="1:4">
      <c r="A47" s="56"/>
      <c r="B47" s="57"/>
      <c r="C47" s="57"/>
      <c r="D47" s="57"/>
    </row>
    <row r="48" customHeight="1" spans="1:4">
      <c r="A48" s="56"/>
      <c r="B48" s="57"/>
      <c r="C48" s="57"/>
      <c r="D48" s="57"/>
    </row>
    <row r="49" customHeight="1" spans="1:4">
      <c r="A49" s="56"/>
      <c r="B49" s="57"/>
      <c r="C49" s="57"/>
      <c r="D49" s="57"/>
    </row>
    <row r="50" customHeight="1" spans="1:4">
      <c r="A50" s="56"/>
      <c r="B50" s="57"/>
      <c r="C50" s="57"/>
      <c r="D50" s="57"/>
    </row>
    <row r="51" customHeight="1" spans="1:4">
      <c r="A51" s="56"/>
      <c r="B51" s="57"/>
      <c r="C51" s="57"/>
      <c r="D51" s="57"/>
    </row>
    <row r="52" customHeight="1" spans="1:4">
      <c r="A52" s="56"/>
      <c r="B52" s="57"/>
      <c r="C52" s="57"/>
      <c r="D52" s="57"/>
    </row>
    <row r="53" customHeight="1" spans="1:4">
      <c r="A53" s="56"/>
      <c r="B53" s="57"/>
      <c r="C53" s="57"/>
      <c r="D53" s="57"/>
    </row>
    <row r="54" customHeight="1" spans="1:4">
      <c r="A54" s="56"/>
      <c r="B54" s="57"/>
      <c r="C54" s="57"/>
      <c r="D54" s="57"/>
    </row>
    <row r="55" customHeight="1" spans="1:4">
      <c r="A55" s="56"/>
      <c r="B55" s="57"/>
      <c r="C55" s="57"/>
      <c r="D55" s="57"/>
    </row>
    <row r="56" customHeight="1" spans="1:4">
      <c r="A56" s="56"/>
      <c r="B56" s="57"/>
      <c r="C56" s="57"/>
      <c r="D56" s="57"/>
    </row>
    <row r="57" customHeight="1" spans="1:4">
      <c r="A57" s="56"/>
      <c r="B57" s="57"/>
      <c r="C57" s="57"/>
      <c r="D57" s="57"/>
    </row>
    <row r="58" customHeight="1" spans="1:4">
      <c r="A58" s="56"/>
      <c r="B58" s="57"/>
      <c r="C58" s="57"/>
      <c r="D58" s="57"/>
    </row>
    <row r="59" customHeight="1" spans="1:4">
      <c r="A59" s="56"/>
      <c r="B59" s="57"/>
      <c r="C59" s="57"/>
      <c r="D59" s="57"/>
    </row>
    <row r="60" customHeight="1" spans="1:4">
      <c r="A60" s="56"/>
      <c r="B60" s="57"/>
      <c r="C60" s="57"/>
      <c r="D60" s="57"/>
    </row>
    <row r="61" customHeight="1" spans="1:4">
      <c r="A61" s="56"/>
      <c r="B61" s="57"/>
      <c r="C61" s="57"/>
      <c r="D61" s="57"/>
    </row>
    <row r="62" customHeight="1" spans="1:4">
      <c r="A62" s="56"/>
      <c r="B62" s="57"/>
      <c r="C62" s="57"/>
      <c r="D62" s="57"/>
    </row>
    <row r="63" customHeight="1" spans="1:4">
      <c r="A63" s="56"/>
      <c r="B63" s="57"/>
      <c r="C63" s="57"/>
      <c r="D63" s="57"/>
    </row>
    <row r="64" customHeight="1" spans="1:4">
      <c r="A64" s="56"/>
      <c r="B64" s="57"/>
      <c r="C64" s="57"/>
      <c r="D64" s="57"/>
    </row>
    <row r="65" customHeight="1" spans="1:4">
      <c r="A65" s="56"/>
      <c r="B65" s="57"/>
      <c r="C65" s="57"/>
      <c r="D65" s="57"/>
    </row>
    <row r="66" customHeight="1" spans="1:4">
      <c r="A66" s="56"/>
      <c r="B66" s="57"/>
      <c r="C66" s="57"/>
      <c r="D66" s="57"/>
    </row>
    <row r="67" customHeight="1" spans="1:4">
      <c r="A67" s="56"/>
      <c r="B67" s="57"/>
      <c r="C67" s="57"/>
      <c r="D67" s="57"/>
    </row>
    <row r="68" customHeight="1" spans="1:4">
      <c r="A68" s="56"/>
      <c r="B68" s="57"/>
      <c r="C68" s="57"/>
      <c r="D68" s="57"/>
    </row>
    <row r="69" customHeight="1" spans="1:4">
      <c r="A69" s="56"/>
      <c r="B69" s="57"/>
      <c r="C69" s="57"/>
      <c r="D69" s="57"/>
    </row>
    <row r="70" customHeight="1" spans="1:4">
      <c r="A70" s="56"/>
      <c r="B70" s="57"/>
      <c r="C70" s="57"/>
      <c r="D70" s="57"/>
    </row>
    <row r="71" customHeight="1" spans="1:4">
      <c r="A71" s="56"/>
      <c r="B71" s="57"/>
      <c r="C71" s="57"/>
      <c r="D71" s="57"/>
    </row>
    <row r="72" customHeight="1" spans="1:4">
      <c r="A72" s="56"/>
      <c r="B72" s="57"/>
      <c r="C72" s="57"/>
      <c r="D72" s="57"/>
    </row>
    <row r="73" customHeight="1" spans="1:4">
      <c r="A73" s="56"/>
      <c r="B73" s="57"/>
      <c r="C73" s="57"/>
      <c r="D73" s="57"/>
    </row>
    <row r="74" customHeight="1" spans="1:4">
      <c r="A74" s="56"/>
      <c r="B74" s="57"/>
      <c r="C74" s="57"/>
      <c r="D74" s="57"/>
    </row>
    <row r="75" customHeight="1" spans="1:4">
      <c r="A75" s="56"/>
      <c r="B75" s="57"/>
      <c r="C75" s="57"/>
      <c r="D75" s="57"/>
    </row>
    <row r="76" customHeight="1" spans="1:4">
      <c r="A76" s="56"/>
      <c r="B76" s="57"/>
      <c r="C76" s="57"/>
      <c r="D76" s="57"/>
    </row>
    <row r="77" customHeight="1" spans="1:4">
      <c r="A77" s="56"/>
      <c r="B77" s="57"/>
      <c r="C77" s="57"/>
      <c r="D77" s="57"/>
    </row>
    <row r="78" customHeight="1" spans="1:4">
      <c r="A78" s="56"/>
      <c r="B78" s="57"/>
      <c r="C78" s="57"/>
      <c r="D78" s="57"/>
    </row>
    <row r="79" customHeight="1" spans="1:4">
      <c r="A79" s="56"/>
      <c r="B79" s="57"/>
      <c r="C79" s="57"/>
      <c r="D79" s="57"/>
    </row>
    <row r="80" customHeight="1" spans="1:4">
      <c r="A80" s="56"/>
      <c r="B80" s="57"/>
      <c r="C80" s="57"/>
      <c r="D80" s="57"/>
    </row>
    <row r="81" customHeight="1" spans="1:4">
      <c r="A81" s="56"/>
      <c r="B81" s="57"/>
      <c r="C81" s="57"/>
      <c r="D81" s="57"/>
    </row>
  </sheetData>
  <hyperlinks>
    <hyperlink ref="C40" r:id="rId1" display="fkinedieng.ext@fdjunited.com"/>
    <hyperlink ref="D40" r:id="rId1" display="fkinedieng.ext@fdjunited.com"/>
  </hyperlinks>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8"/>
  <sheetViews>
    <sheetView showGridLines="0" workbookViewId="0">
      <pane ySplit="1" topLeftCell="A2" activePane="bottomLeft" state="frozen"/>
      <selection/>
      <selection pane="bottomLeft" activeCell="E26" sqref="E26"/>
    </sheetView>
  </sheetViews>
  <sheetFormatPr defaultColWidth="14.4571428571429" defaultRowHeight="15" customHeight="1" outlineLevelCol="4"/>
  <cols>
    <col min="1" max="1" width="34.1809523809524" customWidth="1"/>
    <col min="2" max="2" width="48.7238095238095" customWidth="1"/>
    <col min="3" max="3" width="13.4571428571429" customWidth="1"/>
    <col min="4" max="4" width="14.2666666666667" customWidth="1"/>
    <col min="5" max="5" width="143.457142857143" customWidth="1"/>
  </cols>
  <sheetData>
    <row r="1" ht="14.25" customHeight="1" spans="1:5">
      <c r="A1" s="13" t="s">
        <v>0</v>
      </c>
      <c r="B1" s="13" t="s">
        <v>1</v>
      </c>
      <c r="C1" s="13" t="s">
        <v>2</v>
      </c>
      <c r="D1" s="13" t="s">
        <v>3</v>
      </c>
      <c r="E1" s="13" t="s">
        <v>4</v>
      </c>
    </row>
    <row r="2" ht="14.25" customHeight="1" spans="1:5">
      <c r="A2" s="20" t="s">
        <v>236</v>
      </c>
      <c r="B2" s="21"/>
      <c r="C2" s="21"/>
      <c r="D2" s="21"/>
      <c r="E2" s="22"/>
    </row>
    <row r="3" ht="14.25" customHeight="1" spans="1:5">
      <c r="A3" s="23" t="s">
        <v>237</v>
      </c>
      <c r="B3" s="24">
        <v>0</v>
      </c>
      <c r="C3" s="24"/>
      <c r="D3" s="24"/>
      <c r="E3" s="25" t="s">
        <v>238</v>
      </c>
    </row>
    <row r="4" ht="14.25" customHeight="1" spans="1:5">
      <c r="A4" s="15" t="s">
        <v>239</v>
      </c>
      <c r="B4" s="4">
        <v>200</v>
      </c>
      <c r="C4" s="4"/>
      <c r="D4" s="4"/>
      <c r="E4" s="14" t="s">
        <v>240</v>
      </c>
    </row>
    <row r="5" ht="14.25" customHeight="1" spans="1:5">
      <c r="A5" s="15" t="s">
        <v>241</v>
      </c>
      <c r="B5" s="4">
        <v>2</v>
      </c>
      <c r="C5" s="4"/>
      <c r="D5" s="4"/>
      <c r="E5" s="14" t="s">
        <v>242</v>
      </c>
    </row>
    <row r="6" ht="14.25" customHeight="1" spans="1:5">
      <c r="A6" s="16" t="s">
        <v>243</v>
      </c>
      <c r="B6" s="17">
        <v>3</v>
      </c>
      <c r="C6" s="17"/>
      <c r="D6" s="17"/>
      <c r="E6" s="18" t="s">
        <v>244</v>
      </c>
    </row>
    <row r="7" ht="14.25" customHeight="1"/>
    <row r="8" ht="14.25" customHeight="1" spans="1:5">
      <c r="A8" s="23" t="s">
        <v>245</v>
      </c>
      <c r="B8" s="24">
        <v>5</v>
      </c>
      <c r="C8" s="24"/>
      <c r="D8" s="24"/>
      <c r="E8" s="25" t="s">
        <v>246</v>
      </c>
    </row>
    <row r="9" ht="14.25" customHeight="1" spans="1:5">
      <c r="A9" s="15" t="s">
        <v>247</v>
      </c>
      <c r="B9" s="4">
        <v>30</v>
      </c>
      <c r="C9" s="4"/>
      <c r="D9" s="4"/>
      <c r="E9" s="14" t="s">
        <v>248</v>
      </c>
    </row>
    <row r="10" ht="14.25" customHeight="1" spans="1:5">
      <c r="A10" s="16" t="s">
        <v>249</v>
      </c>
      <c r="B10" s="17">
        <v>120</v>
      </c>
      <c r="C10" s="17"/>
      <c r="D10" s="17"/>
      <c r="E10" s="18" t="s">
        <v>250</v>
      </c>
    </row>
    <row r="11" ht="14.25" customHeight="1"/>
    <row r="12" ht="14.25" customHeight="1" spans="1:5">
      <c r="A12" s="23" t="s">
        <v>251</v>
      </c>
      <c r="B12" s="24">
        <v>1</v>
      </c>
      <c r="C12" s="24"/>
      <c r="D12" s="24"/>
      <c r="E12" s="25" t="s">
        <v>252</v>
      </c>
    </row>
    <row r="13" ht="14.25" customHeight="1" spans="1:5">
      <c r="A13" s="15" t="s">
        <v>253</v>
      </c>
      <c r="B13" s="4">
        <v>15</v>
      </c>
      <c r="C13" s="4"/>
      <c r="D13" s="4"/>
      <c r="E13" s="14" t="s">
        <v>254</v>
      </c>
    </row>
    <row r="14" ht="14.25" customHeight="1" spans="1:5">
      <c r="A14" s="16" t="s">
        <v>255</v>
      </c>
      <c r="B14" s="17">
        <v>60</v>
      </c>
      <c r="C14" s="17"/>
      <c r="D14" s="17"/>
      <c r="E14" s="18" t="s">
        <v>256</v>
      </c>
    </row>
    <row r="15" ht="14.25" customHeight="1"/>
    <row r="16" ht="14.25" customHeight="1" spans="1:5">
      <c r="A16" s="23" t="s">
        <v>257</v>
      </c>
      <c r="B16" s="24">
        <v>0.6</v>
      </c>
      <c r="C16" s="24"/>
      <c r="D16" s="24"/>
      <c r="E16" s="25" t="s">
        <v>258</v>
      </c>
    </row>
    <row r="17" ht="14.25" customHeight="1" spans="1:5">
      <c r="A17" s="15" t="s">
        <v>259</v>
      </c>
      <c r="B17" s="4">
        <v>0.8</v>
      </c>
      <c r="C17" s="4"/>
      <c r="D17" s="4"/>
      <c r="E17" s="14" t="s">
        <v>260</v>
      </c>
    </row>
    <row r="18" ht="14.25" customHeight="1" spans="1:5">
      <c r="A18" s="16" t="s">
        <v>261</v>
      </c>
      <c r="B18" s="17">
        <v>0.9</v>
      </c>
      <c r="C18" s="17"/>
      <c r="D18" s="17"/>
      <c r="E18" s="18" t="s">
        <v>262</v>
      </c>
    </row>
    <row r="19" ht="14.25" customHeight="1"/>
    <row r="20" ht="14.25" customHeight="1" spans="1:5">
      <c r="A20" s="23" t="s">
        <v>263</v>
      </c>
      <c r="B20" s="24" t="s">
        <v>264</v>
      </c>
      <c r="C20" s="24"/>
      <c r="D20" s="24"/>
      <c r="E20" s="25" t="s">
        <v>265</v>
      </c>
    </row>
    <row r="21" ht="14.25" customHeight="1" spans="1:5">
      <c r="A21" s="15" t="s">
        <v>266</v>
      </c>
      <c r="B21" s="4" t="s">
        <v>267</v>
      </c>
      <c r="C21" s="4"/>
      <c r="D21" s="4"/>
      <c r="E21" s="14" t="s">
        <v>268</v>
      </c>
    </row>
    <row r="22" ht="14.25" customHeight="1" spans="1:5">
      <c r="A22" s="15" t="s">
        <v>269</v>
      </c>
      <c r="B22" s="4" t="s">
        <v>270</v>
      </c>
      <c r="C22" s="4"/>
      <c r="D22" s="4"/>
      <c r="E22" s="14" t="s">
        <v>271</v>
      </c>
    </row>
    <row r="23" ht="14.25" customHeight="1" spans="1:5">
      <c r="A23" s="15" t="s">
        <v>272</v>
      </c>
      <c r="B23" s="4" t="s">
        <v>273</v>
      </c>
      <c r="C23" s="4"/>
      <c r="D23" s="4"/>
      <c r="E23" s="14" t="s">
        <v>274</v>
      </c>
    </row>
    <row r="24" ht="14.25" customHeight="1" spans="1:5">
      <c r="A24" s="16" t="s">
        <v>275</v>
      </c>
      <c r="B24" s="17" t="s">
        <v>276</v>
      </c>
      <c r="C24" s="17"/>
      <c r="D24" s="17"/>
      <c r="E24" s="18" t="s">
        <v>277</v>
      </c>
    </row>
    <row r="25" ht="14.25" customHeight="1" spans="1:5">
      <c r="A25" s="16" t="s">
        <v>278</v>
      </c>
      <c r="B25" s="17" t="s">
        <v>264</v>
      </c>
      <c r="C25" s="17"/>
      <c r="D25" s="17"/>
      <c r="E25" s="18" t="s">
        <v>279</v>
      </c>
    </row>
    <row r="26" ht="14.25" customHeight="1"/>
    <row r="27" ht="14.25" customHeight="1" spans="1:5">
      <c r="A27" s="23" t="s">
        <v>280</v>
      </c>
      <c r="B27" s="24">
        <v>0</v>
      </c>
      <c r="C27" s="24"/>
      <c r="D27" s="24"/>
      <c r="E27" s="25" t="s">
        <v>281</v>
      </c>
    </row>
    <row r="28" ht="14.25" customHeight="1" spans="1:5">
      <c r="A28" s="15" t="s">
        <v>282</v>
      </c>
      <c r="B28" s="4">
        <v>0</v>
      </c>
      <c r="C28" s="4"/>
      <c r="D28" s="4"/>
      <c r="E28" s="14" t="s">
        <v>283</v>
      </c>
    </row>
    <row r="29" ht="14.25" customHeight="1" spans="1:5">
      <c r="A29" s="16" t="s">
        <v>284</v>
      </c>
      <c r="B29" s="17">
        <v>0</v>
      </c>
      <c r="C29" s="17"/>
      <c r="D29" s="17"/>
      <c r="E29" s="18" t="s">
        <v>283</v>
      </c>
    </row>
    <row r="30" ht="14.25" customHeight="1"/>
    <row r="31" ht="14.25" customHeight="1" spans="1:5">
      <c r="A31" s="23" t="s">
        <v>285</v>
      </c>
      <c r="B31" s="26" t="s">
        <v>286</v>
      </c>
      <c r="C31" s="26" t="s">
        <v>287</v>
      </c>
      <c r="D31" s="26" t="s">
        <v>288</v>
      </c>
      <c r="E31" s="25" t="s">
        <v>289</v>
      </c>
    </row>
    <row r="32" ht="14.15" customHeight="1" spans="1:5">
      <c r="A32" s="16" t="s">
        <v>290</v>
      </c>
      <c r="B32" s="17">
        <v>7</v>
      </c>
      <c r="C32" s="17"/>
      <c r="D32" s="17"/>
      <c r="E32" s="18" t="s">
        <v>291</v>
      </c>
    </row>
    <row r="33" ht="14.15" customHeight="1"/>
    <row r="34" ht="14.15" customHeight="1" spans="1:5">
      <c r="A34" s="23" t="s">
        <v>292</v>
      </c>
      <c r="B34" s="24">
        <v>3</v>
      </c>
      <c r="C34" s="24"/>
      <c r="D34" s="24"/>
      <c r="E34" s="25" t="s">
        <v>293</v>
      </c>
    </row>
    <row r="35" ht="14.15" customHeight="1" spans="1:5">
      <c r="A35" s="16" t="s">
        <v>294</v>
      </c>
      <c r="B35" s="17">
        <v>5</v>
      </c>
      <c r="C35" s="17"/>
      <c r="D35" s="17"/>
      <c r="E35" s="18" t="s">
        <v>295</v>
      </c>
    </row>
    <row r="36" ht="14.25" customHeight="1"/>
    <row r="37" ht="14.25" customHeight="1" spans="1:5">
      <c r="A37" s="27" t="s">
        <v>296</v>
      </c>
      <c r="B37" s="28"/>
      <c r="C37" s="28"/>
      <c r="D37" s="28"/>
      <c r="E37" s="29"/>
    </row>
    <row r="38" s="19" customFormat="1" ht="14.25" customHeight="1" spans="1:1">
      <c r="A38" s="30" t="s">
        <v>297</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
  <sheetViews>
    <sheetView showGridLines="0" workbookViewId="0">
      <pane ySplit="1" topLeftCell="A2" activePane="bottomLeft" state="frozen"/>
      <selection/>
      <selection pane="bottomLeft" activeCell="C15" sqref="C15"/>
    </sheetView>
  </sheetViews>
  <sheetFormatPr defaultColWidth="14.4571428571429" defaultRowHeight="15" customHeight="1" outlineLevelRow="3" outlineLevelCol="4"/>
  <cols>
    <col min="1" max="1" width="29" customWidth="1"/>
    <col min="2" max="2" width="31.5428571428571" customWidth="1"/>
    <col min="3" max="4" width="31.1809523809524" customWidth="1"/>
    <col min="5" max="5" width="94.2666666666667" customWidth="1"/>
  </cols>
  <sheetData>
    <row r="1" ht="14.25" customHeight="1" spans="1:5">
      <c r="A1" s="13" t="s">
        <v>0</v>
      </c>
      <c r="B1" s="13" t="s">
        <v>1</v>
      </c>
      <c r="C1" s="13" t="s">
        <v>37</v>
      </c>
      <c r="D1" s="13" t="s">
        <v>298</v>
      </c>
      <c r="E1" s="13" t="s">
        <v>299</v>
      </c>
    </row>
    <row r="2" customHeight="1" spans="1:5">
      <c r="A2" s="3" t="s">
        <v>300</v>
      </c>
      <c r="B2" s="3" t="s">
        <v>300</v>
      </c>
      <c r="C2" s="4" t="s">
        <v>32</v>
      </c>
      <c r="D2" s="4"/>
      <c r="E2" s="14"/>
    </row>
    <row r="3" customHeight="1" spans="1:5">
      <c r="A3" s="15" t="s">
        <v>301</v>
      </c>
      <c r="B3" s="4" t="s">
        <v>301</v>
      </c>
      <c r="C3" s="4" t="s">
        <v>32</v>
      </c>
      <c r="D3" s="4"/>
      <c r="E3" s="14"/>
    </row>
    <row r="4" customHeight="1" spans="1:5">
      <c r="A4" s="16"/>
      <c r="B4" s="17"/>
      <c r="C4" s="17"/>
      <c r="D4" s="17"/>
      <c r="E4" s="18"/>
    </row>
  </sheetData>
  <dataValidations count="2">
    <dataValidation showInputMessage="1" showErrorMessage="1" sqref="D1"/>
    <dataValidation type="list" showInputMessage="1" showErrorMessage="1" sqref="D2:D1048576">
      <formula1>DataValidation!$B$2:$B$3</formula1>
    </dataValidation>
  </dataValidations>
  <pageMargins left="0.7" right="0.7" top="0.75" bottom="0.75" header="0.3" footer="0.3"/>
  <pageSetup paperSize="9" orientation="portrait"/>
  <headerFooter>
    <oddFooter>&amp;C
&amp;1#&amp;"verdana"&amp;8&amp;K282D87 RESTREINT</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showGridLines="0" workbookViewId="0">
      <pane ySplit="1" topLeftCell="A15" activePane="bottomLeft" state="frozen"/>
      <selection/>
      <selection pane="bottomLeft" activeCell="C13" sqref="C13"/>
    </sheetView>
  </sheetViews>
  <sheetFormatPr defaultColWidth="9.18095238095238" defaultRowHeight="69.75" customHeight="1" outlineLevelCol="4"/>
  <cols>
    <col min="1" max="1" width="50.5428571428571" customWidth="1"/>
    <col min="2" max="5" width="50.5428571428571" style="5" customWidth="1"/>
  </cols>
  <sheetData>
    <row r="1" ht="15.75" customHeight="1" spans="1:5">
      <c r="A1" s="6" t="s">
        <v>302</v>
      </c>
      <c r="B1" s="7" t="s">
        <v>303</v>
      </c>
      <c r="C1" s="7" t="s">
        <v>25</v>
      </c>
      <c r="D1" s="7" t="s">
        <v>304</v>
      </c>
      <c r="E1" s="7" t="s">
        <v>305</v>
      </c>
    </row>
    <row r="2" ht="45" spans="1:5">
      <c r="A2" s="8" t="s">
        <v>52</v>
      </c>
      <c r="B2" s="9" t="s">
        <v>306</v>
      </c>
      <c r="C2" s="9" t="s">
        <v>307</v>
      </c>
      <c r="D2" s="9" t="s">
        <v>308</v>
      </c>
      <c r="E2" s="9" t="s">
        <v>309</v>
      </c>
    </row>
    <row r="3" ht="15" spans="1:5">
      <c r="A3" s="10" t="s">
        <v>86</v>
      </c>
      <c r="B3" s="9" t="s">
        <v>310</v>
      </c>
      <c r="C3" s="9" t="s">
        <v>310</v>
      </c>
      <c r="D3" s="9"/>
      <c r="E3" s="9"/>
    </row>
    <row r="4" ht="89.25" customHeight="1" spans="1:5">
      <c r="A4" s="8" t="s">
        <v>88</v>
      </c>
      <c r="B4" s="11" t="s">
        <v>311</v>
      </c>
      <c r="C4" s="9" t="s">
        <v>312</v>
      </c>
      <c r="D4" s="11" t="s">
        <v>313</v>
      </c>
      <c r="E4" s="11" t="s">
        <v>314</v>
      </c>
    </row>
    <row r="5" ht="89.25" customHeight="1" spans="1:5">
      <c r="A5" s="8" t="s">
        <v>90</v>
      </c>
      <c r="B5" s="11" t="s">
        <v>315</v>
      </c>
      <c r="C5" s="9" t="s">
        <v>316</v>
      </c>
      <c r="D5" s="11" t="s">
        <v>317</v>
      </c>
      <c r="E5" s="11" t="s">
        <v>318</v>
      </c>
    </row>
    <row r="6" ht="89.25" customHeight="1" spans="1:5">
      <c r="A6" s="8" t="s">
        <v>92</v>
      </c>
      <c r="B6" s="11" t="s">
        <v>319</v>
      </c>
      <c r="C6" s="11" t="s">
        <v>320</v>
      </c>
      <c r="D6" s="11" t="s">
        <v>321</v>
      </c>
      <c r="E6" s="11" t="s">
        <v>322</v>
      </c>
    </row>
    <row r="7" ht="89.25" customHeight="1" spans="1:5">
      <c r="A7" s="8" t="s">
        <v>94</v>
      </c>
      <c r="B7" s="11" t="s">
        <v>323</v>
      </c>
      <c r="C7" s="11" t="s">
        <v>324</v>
      </c>
      <c r="D7" s="11" t="s">
        <v>325</v>
      </c>
      <c r="E7" s="11" t="s">
        <v>326</v>
      </c>
    </row>
    <row r="8" ht="15" spans="1:5">
      <c r="A8" s="10" t="s">
        <v>146</v>
      </c>
      <c r="B8" s="9" t="s">
        <v>327</v>
      </c>
      <c r="C8" s="9" t="s">
        <v>327</v>
      </c>
      <c r="D8" s="9"/>
      <c r="E8" s="9"/>
    </row>
    <row r="9" ht="89.25" customHeight="1" spans="1:5">
      <c r="A9" s="8" t="s">
        <v>328</v>
      </c>
      <c r="B9" s="11" t="s">
        <v>329</v>
      </c>
      <c r="C9" s="11" t="s">
        <v>330</v>
      </c>
      <c r="D9" s="11"/>
      <c r="E9" s="11"/>
    </row>
    <row r="10" ht="15" spans="1:5">
      <c r="A10" s="10" t="s">
        <v>121</v>
      </c>
      <c r="B10" s="9" t="s">
        <v>331</v>
      </c>
      <c r="C10" s="9" t="s">
        <v>331</v>
      </c>
      <c r="D10" s="9"/>
      <c r="E10" s="9"/>
    </row>
    <row r="11" ht="89.25" customHeight="1" spans="1:5">
      <c r="A11" s="8" t="s">
        <v>123</v>
      </c>
      <c r="B11" s="11" t="s">
        <v>332</v>
      </c>
      <c r="C11" s="9" t="s">
        <v>333</v>
      </c>
      <c r="D11" s="11" t="s">
        <v>334</v>
      </c>
      <c r="E11" s="11" t="s">
        <v>335</v>
      </c>
    </row>
    <row r="12" ht="178.9" customHeight="1" spans="1:5">
      <c r="A12" s="8" t="s">
        <v>125</v>
      </c>
      <c r="B12" s="11" t="s">
        <v>336</v>
      </c>
      <c r="C12" s="11" t="s">
        <v>337</v>
      </c>
      <c r="D12" s="11" t="s">
        <v>338</v>
      </c>
      <c r="E12" s="11" t="s">
        <v>339</v>
      </c>
    </row>
    <row r="13" ht="45" spans="1:5">
      <c r="A13" s="10" t="s">
        <v>134</v>
      </c>
      <c r="B13" s="9" t="s">
        <v>340</v>
      </c>
      <c r="C13" s="9" t="s">
        <v>341</v>
      </c>
      <c r="D13" s="9"/>
      <c r="E13" s="9"/>
    </row>
    <row r="14" ht="134.5" customHeight="1" spans="1:5">
      <c r="A14" s="12" t="s">
        <v>136</v>
      </c>
      <c r="B14" s="11" t="s">
        <v>342</v>
      </c>
      <c r="C14" s="11" t="s">
        <v>343</v>
      </c>
      <c r="D14" s="11" t="s">
        <v>344</v>
      </c>
      <c r="E14" s="11" t="s">
        <v>345</v>
      </c>
    </row>
    <row r="15" ht="134.5" customHeight="1" spans="1:5">
      <c r="A15" s="12"/>
      <c r="B15" s="11"/>
      <c r="D15" s="11"/>
      <c r="E15" s="11"/>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
  <sheetViews>
    <sheetView showGridLines="0" workbookViewId="0">
      <pane ySplit="1" topLeftCell="A2" activePane="bottomLeft" state="frozen"/>
      <selection/>
      <selection pane="bottomLeft" activeCell="H15" sqref="H15"/>
    </sheetView>
  </sheetViews>
  <sheetFormatPr defaultColWidth="9.18095238095238" defaultRowHeight="15" outlineLevelRow="4" outlineLevelCol="3"/>
  <cols>
    <col min="1" max="2" width="14.5428571428571" customWidth="1"/>
    <col min="3" max="3" width="32.5428571428571" customWidth="1"/>
  </cols>
  <sheetData>
    <row r="1" spans="1:4">
      <c r="A1" s="1" t="s">
        <v>346</v>
      </c>
      <c r="B1" s="1" t="s">
        <v>347</v>
      </c>
      <c r="C1" s="1" t="s">
        <v>348</v>
      </c>
      <c r="D1" s="2" t="s">
        <v>55</v>
      </c>
    </row>
    <row r="2" spans="1:4">
      <c r="A2" s="3" t="s">
        <v>25</v>
      </c>
      <c r="B2" s="4" t="b">
        <v>1</v>
      </c>
      <c r="C2" s="4" t="s">
        <v>349</v>
      </c>
      <c r="D2" s="4" t="s">
        <v>350</v>
      </c>
    </row>
    <row r="3" spans="1:4">
      <c r="A3" s="4" t="s">
        <v>303</v>
      </c>
      <c r="B3" s="4" t="b">
        <v>0</v>
      </c>
      <c r="C3" s="4" t="s">
        <v>10</v>
      </c>
      <c r="D3" s="4" t="s">
        <v>351</v>
      </c>
    </row>
    <row r="4" spans="1:4">
      <c r="A4" s="4" t="s">
        <v>304</v>
      </c>
      <c r="D4" s="4" t="s">
        <v>56</v>
      </c>
    </row>
    <row r="5" spans="1:1">
      <c r="A5" s="3" t="s">
        <v>305</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senyoneadmin</cp:lastModifiedBy>
  <dcterms:created xsi:type="dcterms:W3CDTF">2025-10-29T13:25:00Z</dcterms:created>
  <dcterms:modified xsi:type="dcterms:W3CDTF">2025-11-13T09:46:26Z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